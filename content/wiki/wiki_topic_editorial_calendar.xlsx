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862975e34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e6c57ede2ad4f1e"/>
    <x:sheet xmlns:r="http://schemas.openxmlformats.org/officeDocument/2006/relationships" name="Editorial Calendar" sheetId="2" r:id="R023d9b3481c24c4e"/>
  </x:sheets>
</x:workbook>
</file>

<file path=xl/sharedStrings.xml><?xml version="1.0" encoding="utf-8"?>
<x:sst xmlns:x="http://schemas.openxmlformats.org/spreadsheetml/2006/main">
  <x:si>
    <x:t xml:space="preserve">Wiki Editorial Calendar</x:t>
  </x:si>
  <x:si>
    <x:t xml:space="preserve">Schedule setting</x:t>
  </x:si>
  <x:si>
    <x:t xml:space="preserve">Value</x:t>
  </x:si>
  <x:si>
    <x:t xml:space="preserve">Category</x:t>
  </x:si>
  <x:si>
    <x:t xml:space="preserve">Concepts</x:t>
  </x:si>
  <x:si>
    <x:t xml:space="preserve">Start date</x:t>
  </x:si>
  <x:si>
    <x:t xml:space="preserve">Unit Economics</x:t>
  </x:si>
  <x:si>
    <x:t xml:space="preserve">Cadence</x:t>
  </x:si>
  <x:si>
    <x:t xml:space="preserve">1 concept per calendar day</x:t>
  </x:si>
  <x:si>
    <x:t xml:space="preserve">Economics for Founders</x:t>
  </x:si>
  <x:si>
    <x:t xml:space="preserve">Total concepts</x:t>
  </x:si>
  <x:si>
    <x:t xml:space="preserve">Business Models</x:t>
  </x:si>
  <x:si>
    <x:t xml:space="preserve">End date</x:t>
  </x:si>
  <x:si>
    <x:t xml:space="preserve">Go-to-Market</x:t>
  </x:si>
  <x:si>
    <x:t xml:space="preserve">Priority method</x:t>
  </x:si>
  <x:si>
    <x:t xml:space="preserve">P1 learning path → adjacent P2 topics → broader P3 reference topics</x:t>
  </x:si>
  <x:si>
    <x:t xml:space="preserve">AI Economics</x:t>
  </x:si>
  <x:si>
    <x:t xml:space="preserve">P1 scope</x:t>
  </x:si>
  <x:si>
    <x:t xml:space="preserve">Only concepts directly useful for building a pitch deck or understanding fundraising</x:t>
  </x:si>
  <x:si>
    <x:t xml:space="preserve">Strategy</x:t>
  </x:si>
  <x:si>
    <x:t xml:space="preserve">Fundraising</x:t>
  </x:si>
  <x:si>
    <x:t xml:space="preserve">Phase</x:t>
  </x:si>
  <x:si>
    <x:t xml:space="preserve">Uncategorized</x:t>
  </x:si>
  <x:si>
    <x:t xml:space="preserve">P1</x:t>
  </x:si>
  <x:si>
    <x:t xml:space="preserve">P2</x:t>
  </x:si>
  <x:si>
    <x:t xml:space="preserve">P3</x:t>
  </x:si>
  <x:si>
    <x:t xml:space="preserve">Total</x:t>
  </x:si>
  <x:si>
    <x:t xml:space="preserve">Revised phase logic</x:t>
  </x:si>
  <x:si>
    <x:t xml:space="preserve">P1 follows a practical sequence: pitch narrative and market → traction and unit economics → fundraising instruments, valuation, dilution, and deal terms. P2 contains adjacent operating, business-model, strategy, and AI topics. P3 contains broader founder/MBA reference concepts.</x:t>
  </x:si>
  <x:si>
    <x:t xml:space="preserve">Wiki Topic Map — Daily Publication Schedule</x:t>
  </x:si>
  <x:si>
    <x:t xml:space="preserve">Priority Rank</x:t>
  </x:si>
  <x:si>
    <x:t xml:space="preserve">Date</x:t>
  </x:si>
  <x:si>
    <x:t xml:space="preserve">Day</x:t>
  </x:si>
  <x:si>
    <x:t xml:space="preserve">Week</x:t>
  </x:si>
  <x:si>
    <x:t xml:space="preserve">Concept</x:t>
  </x:si>
  <x:si>
    <x:t xml:space="preserve">Page Type</x:t>
  </x:si>
  <x:si>
    <x:t xml:space="preserve">Slug</x:t>
  </x:si>
  <x:si>
    <x:t xml:space="preserve">Recommended URL</x:t>
  </x:si>
  <x:si>
    <x:t xml:space="preserve">Status</x:t>
  </x:si>
  <x:si>
    <x:t xml:space="preserve">Notes / Cross-links</x:t>
  </x:si>
  <x:si>
    <x:t xml:space="preserve">Week 1</x:t>
  </x:si>
  <x:si>
    <x:t xml:space="preserve">How Startup Funding Works</x:t>
  </x:si>
  <x:si>
    <x:t xml:space="preserve">Pillar / Hub</x:t>
  </x:si>
  <x:si>
    <x:t xml:space="preserve">startup-funding-stages</x:t>
  </x:si>
  <x:si>
    <x:t xml:space="preserve">/wiki/fundraising</x:t>
  </x:si>
  <x:si>
    <x:t xml:space="preserve">Published</x:t>
  </x:si>
  <x:si>
    <x:t xml:space="preserve">Use as the pillar page;  create the category hub separately</x:t>
  </x:si>
  <x:si>
    <x:t xml:space="preserve">Pre-Seed, Seed, Series A</x:t>
  </x:si>
  <x:si>
    <x:t xml:space="preserve">Defined Concept</x:t>
  </x:si>
  <x:si>
    <x:t xml:space="preserve">pre-seed-seed-series-a</x:t>
  </x:si>
  <x:si>
    <x:t xml:space="preserve">/wiki/fundraising/pre-seed-seed-series-a</x:t>
  </x:si>
  <x:si>
    <x:t xml:space="preserve">Draft Complete</x:t>
  </x:si>
  <x:si>
    <x:t xml:space="preserve">TAM, SAM, SOM</x:t>
  </x:si>
  <x:si>
    <x:t xml:space="preserve">tam-sam-som</x:t>
  </x:si>
  <x:si>
    <x:t xml:space="preserve">/wiki/go-to-market/tam-sam-som</x:t>
  </x:si>
  <x:si>
    <x:t xml:space="preserve">SAFE Notes</x:t>
  </x:si>
  <x:si>
    <x:t xml:space="preserve">safe-notes</x:t>
  </x:si>
  <x:si>
    <x:t xml:space="preserve">/wiki/fundraising/safe-notes</x:t>
  </x:si>
  <x:si>
    <x:t xml:space="preserve">Convertible Notes</x:t>
  </x:si>
  <x:si>
    <x:t xml:space="preserve">convertible-notes</x:t>
  </x:si>
  <x:si>
    <x:t xml:space="preserve">/wiki/fundraising/convertible-notes</x:t>
  </x:si>
  <x:si>
    <x:t xml:space="preserve">Startup Valuation Methods</x:t>
  </x:si>
  <x:si>
    <x:t xml:space="preserve">startup-valuation-methods</x:t>
  </x:si>
  <x:si>
    <x:t xml:space="preserve">/wiki/fundraising/startup-valuation-methods</x:t>
  </x:si>
  <x:si>
    <x:t xml:space="preserve">Dilution &amp; Cap Tables</x:t>
  </x:si>
  <x:si>
    <x:t xml:space="preserve">dilution-cap-tables</x:t>
  </x:si>
  <x:si>
    <x:t xml:space="preserve">/wiki/fundraising/dilution-cap-tables</x:t>
  </x:si>
  <x:si>
    <x:t xml:space="preserve">Week 2</x:t>
  </x:si>
  <x:si>
    <x:t xml:space="preserve">Term Sheets</x:t>
  </x:si>
  <x:si>
    <x:t xml:space="preserve">term-sheets</x:t>
  </x:si>
  <x:si>
    <x:t xml:space="preserve">/wiki/fundraising/term-sheets</x:t>
  </x:si>
  <x:si>
    <x:t xml:space="preserve">Liquidation Preferences</x:t>
  </x:si>
  <x:si>
    <x:t xml:space="preserve">liquidation-preferences</x:t>
  </x:si>
  <x:si>
    <x:t xml:space="preserve">/wiki/fundraising/liquidation-preferences</x:t>
  </x:si>
  <x:si>
    <x:t xml:space="preserve">Bootstrapping vs. Venture Capital</x:t>
  </x:si>
  <x:si>
    <x:t xml:space="preserve">Comparison</x:t>
  </x:si>
  <x:si>
    <x:t xml:space="preserve">bootstrapping-vs-vc</x:t>
  </x:si>
  <x:si>
    <x:t xml:space="preserve">/wiki/fundraising/bootstrapping-vs-vc</x:t>
  </x:si>
  <x:si>
    <x:t xml:space="preserve">Not Started</x:t>
  </x:si>
  <x:si>
    <x:t xml:space="preserve">Oversubscribed</x:t>
  </x:si>
  <x:si>
    <x:t xml:space="preserve">oversubscribed</x:t>
  </x:si>
  <x:si>
    <x:t xml:space="preserve">/wiki/fundraising/oversubscribed</x:t>
  </x:si>
  <x:si>
    <x:t xml:space="preserve">Data Moats</x:t>
  </x:si>
  <x:si>
    <x:t xml:space="preserve">data-moats</x:t>
  </x:si>
  <x:si>
    <x:t xml:space="preserve">/wiki/ai-economics/data-moats</x:t>
  </x:si>
  <x:si>
    <x:t xml:space="preserve">Managed Services</x:t>
  </x:si>
  <x:si>
    <x:t xml:space="preserve">managed-services</x:t>
  </x:si>
  <x:si>
    <x:t xml:space="preserve">/wiki/business-models/managed-services</x:t>
  </x:si>
  <x:si>
    <x:t xml:space="preserve">API-as-a-Product</x:t>
  </x:si>
  <x:si>
    <x:t xml:space="preserve">api-as-a-product</x:t>
  </x:si>
  <x:si>
    <x:t xml:space="preserve">/wiki/business-models/api-as-a-product</x:t>
  </x:si>
  <x:si>
    <x:t xml:space="preserve">Week 3</x:t>
  </x:si>
  <x:si>
    <x:t xml:space="preserve">Hardware-as-a-Service / Servitization</x:t>
  </x:si>
  <x:si>
    <x:t xml:space="preserve">hardware-as-a-service</x:t>
  </x:si>
  <x:si>
    <x:t xml:space="preserve">/wiki/business-models/hardware-as-a-service</x:t>
  </x:si>
  <x:si>
    <x:t xml:space="preserve">Two-Sided Markets</x:t>
  </x:si>
  <x:si>
    <x:t xml:space="preserve">two-sided-markets</x:t>
  </x:si>
  <x:si>
    <x:t xml:space="preserve">/wiki/economics-for-founders/two-sided-markets</x:t>
  </x:si>
  <x:si>
    <x:t xml:space="preserve">Everything-as-a-Service (XaaS)</x:t>
  </x:si>
  <x:si>
    <x:t xml:space="preserve">everything-as-a-service</x:t>
  </x:si>
  <x:si>
    <x:t xml:space="preserve">/wiki/business-models/everything-as-a-service</x:t>
  </x:si>
  <x:si>
    <x:t xml:space="preserve">Marketplace Model</x:t>
  </x:si>
  <x:si>
    <x:t xml:space="preserve">marketplace-model</x:t>
  </x:si>
  <x:si>
    <x:t xml:space="preserve">/wiki/business-models/marketplace-model</x:t>
  </x:si>
  <x:si>
    <x:t xml:space="preserve">Product-Market Fit</x:t>
  </x:si>
  <x:si>
    <x:t xml:space="preserve">product-market-fit</x:t>
  </x:si>
  <x:si>
    <x:t xml:space="preserve">/wiki/go-to-market/product-market-fit</x:t>
  </x:si>
  <x:si>
    <x:t xml:space="preserve">Positioning</x:t>
  </x:si>
  <x:si>
    <x:t xml:space="preserve">positioning</x:t>
  </x:si>
  <x:si>
    <x:t xml:space="preserve">/wiki/go-to-market/positioning</x:t>
  </x:si>
  <x:si>
    <x:t xml:space="preserve">Business Model</x:t>
  </x:si>
  <x:si>
    <x:t xml:space="preserve">business-model</x:t>
  </x:si>
  <x:si>
    <x:t xml:space="preserve">/wiki/business-models</x:t>
  </x:si>
  <x:si>
    <x:t xml:space="preserve">Use the category hub as the pillar page; avoid a duplicate nested pillar URL.</x:t>
  </x:si>
  <x:si>
    <x:t xml:space="preserve">Week 4</x:t>
  </x:si>
  <x:si>
    <x:t xml:space="preserve">Go-to-Market Strategy</x:t>
  </x:si>
  <x:si>
    <x:t xml:space="preserve">go-to-market-strategy</x:t>
  </x:si>
  <x:si>
    <x:t xml:space="preserve">/wiki/go-to-market</x:t>
  </x:si>
  <x:si>
    <x:t xml:space="preserve">Distribution Channels</x:t>
  </x:si>
  <x:si>
    <x:t xml:space="preserve">distribution-channels</x:t>
  </x:si>
  <x:si>
    <x:t xml:space="preserve">/wiki/go-to-market/distribution-channels</x:t>
  </x:si>
  <x:si>
    <x:t xml:space="preserve">Sales Funnel &amp; Pipeline Metrics</x:t>
  </x:si>
  <x:si>
    <x:t xml:space="preserve">sales-funnel-metrics</x:t>
  </x:si>
  <x:si>
    <x:t xml:space="preserve">/wiki/go-to-market/sales-funnel-metrics</x:t>
  </x:si>
  <x:si>
    <x:t xml:space="preserve">Competitive Advantage &amp; Moats</x:t>
  </x:si>
  <x:si>
    <x:t xml:space="preserve">moats</x:t>
  </x:si>
  <x:si>
    <x:t xml:space="preserve">/wiki/strategy/moats</x:t>
  </x:si>
  <x:si>
    <x:t xml:space="preserve">Network Effects</x:t>
  </x:si>
  <x:si>
    <x:t xml:space="preserve">network-effects</x:t>
  </x:si>
  <x:si>
    <x:t xml:space="preserve">/wiki/economics-for-founders/network-effects</x:t>
  </x:si>
  <x:si>
    <x:t xml:space="preserve">Switching Costs &amp; Lock-In</x:t>
  </x:si>
  <x:si>
    <x:t xml:space="preserve">switching-costs</x:t>
  </x:si>
  <x:si>
    <x:t xml:space="preserve">/wiki/economics-for-founders/switching-costs</x:t>
  </x:si>
  <x:si>
    <x:t xml:space="preserve">Economies of Scale</x:t>
  </x:si>
  <x:si>
    <x:t xml:space="preserve">economies-of-scale</x:t>
  </x:si>
  <x:si>
    <x:t xml:space="preserve">/wiki/economics-for-founders/economies-of-scale</x:t>
  </x:si>
  <x:si>
    <x:t xml:space="preserve">Week 5</x:t>
  </x:si>
  <x:si>
    <x:t xml:space="preserve">Inference vs. Training Costs</x:t>
  </x:si>
  <x:si>
    <x:t xml:space="preserve">inference-vs-training-costs</x:t>
  </x:si>
  <x:si>
    <x:t xml:space="preserve">/wiki/ai-economics/inference-vs-training-costs</x:t>
  </x:si>
  <x:si>
    <x:t xml:space="preserve">Copilots vs. Agents as Offerings</x:t>
  </x:si>
  <x:si>
    <x:t xml:space="preserve">copilots-vs-agents</x:t>
  </x:si>
  <x:si>
    <x:t xml:space="preserve">/wiki/ai-economics/copilots-vs-agents</x:t>
  </x:si>
  <x:si>
    <x:t xml:space="preserve">Razor-and-Blades</x:t>
  </x:si>
  <x:si>
    <x:t xml:space="preserve">razor-and-blades</x:t>
  </x:si>
  <x:si>
    <x:t xml:space="preserve">/wiki/business-models/razor-and-blades</x:t>
  </x:si>
  <x:si>
    <x:t xml:space="preserve">Cloud Marketplaces</x:t>
  </x:si>
  <x:si>
    <x:t xml:space="preserve">cloud-marketplaces</x:t>
  </x:si>
  <x:si>
    <x:t xml:space="preserve">/wiki/go-to-market/cloud-marketplaces</x:t>
  </x:si>
  <x:si>
    <x:t xml:space="preserve">First-Mover Advantage</x:t>
  </x:si>
  <x:si>
    <x:t xml:space="preserve">first-mover-advantage</x:t>
  </x:si>
  <x:si>
    <x:t xml:space="preserve">/wiki/strategy/first-mover-advantage</x:t>
  </x:si>
  <x:si>
    <x:t xml:space="preserve">Platform Strategy &amp; Ecosystems</x:t>
  </x:si>
  <x:si>
    <x:t xml:space="preserve">platform-strategy</x:t>
  </x:si>
  <x:si>
    <x:t xml:space="preserve">/wiki/strategy/platform-strategy</x:t>
  </x:si>
  <x:si>
    <x:t xml:space="preserve">Build vs. Buy vs. Partner</x:t>
  </x:si>
  <x:si>
    <x:t xml:space="preserve">build-buy-partner</x:t>
  </x:si>
  <x:si>
    <x:t xml:space="preserve">/wiki/strategy/build-buy-partner</x:t>
  </x:si>
  <x:si>
    <x:t xml:space="preserve">Week 6</x:t>
  </x:si>
  <x:si>
    <x:t xml:space="preserve">Vertical Integration</x:t>
  </x:si>
  <x:si>
    <x:t xml:space="preserve">vertical-integration</x:t>
  </x:si>
  <x:si>
    <x:t xml:space="preserve">/wiki/strategy/vertical-integration</x:t>
  </x:si>
  <x:si>
    <x:t xml:space="preserve">AI-as-a-Service</x:t>
  </x:si>
  <x:si>
    <x:t xml:space="preserve">ai-as-a-service</x:t>
  </x:si>
  <x:si>
    <x:t xml:space="preserve">/wiki/ai-economics/ai-as-a-service</x:t>
  </x:si>
  <x:si>
    <x:t xml:space="preserve">Token Economics &amp; Metering</x:t>
  </x:si>
  <x:si>
    <x:t xml:space="preserve">token-economics</x:t>
  </x:si>
  <x:si>
    <x:t xml:space="preserve">/wiki/ai-economics/token-economics</x:t>
  </x:si>
  <x:si>
    <x:t xml:space="preserve">cross-link pricing `credits-drawdown-model`, `usage-based-pricing`</x:t>
  </x:si>
  <x:si>
    <x:t xml:space="preserve">GPU &amp; Compute Economics</x:t>
  </x:si>
  <x:si>
    <x:t xml:space="preserve">gpu-compute-economics</x:t>
  </x:si>
  <x:si>
    <x:t xml:space="preserve">/wiki/ai-economics/gpu-compute-economics</x:t>
  </x:si>
  <x:si>
    <x:t xml:space="preserve">AI Unit Economics &amp; Gross Margins</x:t>
  </x:si>
  <x:si>
    <x:t xml:space="preserve">ai-unit-economics</x:t>
  </x:si>
  <x:si>
    <x:t xml:space="preserve">/wiki/ai-economics/ai-unit-economics</x:t>
  </x:si>
  <x:si>
    <x:t xml:space="preserve">Cohort Analysis</x:t>
  </x:si>
  <x:si>
    <x:t xml:space="preserve">cohort-analysis</x:t>
  </x:si>
  <x:si>
    <x:t xml:space="preserve">/wiki/unit-economics/cohort-analysis</x:t>
  </x:si>
  <x:si>
    <x:t xml:space="preserve">Vertical SaaS</x:t>
  </x:si>
  <x:si>
    <x:t xml:space="preserve">vertical-saas</x:t>
  </x:si>
  <x:si>
    <x:t xml:space="preserve">/wiki/business-models/vertical-saas</x:t>
  </x:si>
  <x:si>
    <x:t xml:space="preserve">Week 7</x:t>
  </x:si>
  <x:si>
    <x:t xml:space="preserve">Open-Source Business Models</x:t>
  </x:si>
  <x:si>
    <x:t xml:space="preserve">open-source-business-models</x:t>
  </x:si>
  <x:si>
    <x:t xml:space="preserve">/wiki/business-models/open-source-business-models</x:t>
  </x:si>
  <x:si>
    <x:t xml:space="preserve">AI-Native Business Models</x:t>
  </x:si>
  <x:si>
    <x:t xml:space="preserve">ai-native-business-models</x:t>
  </x:si>
  <x:si>
    <x:t xml:space="preserve">/wiki/business-models/ai-native-business-models</x:t>
  </x:si>
  <x:si>
    <x:t xml:space="preserve">Winner-Take-All Dynamics</x:t>
  </x:si>
  <x:si>
    <x:t xml:space="preserve">winner-take-all-dynamics</x:t>
  </x:si>
  <x:si>
    <x:t xml:space="preserve">/wiki/economics-for-founders/winner-take-all-dynamics</x:t>
  </x:si>
  <x:si>
    <x:t xml:space="preserve">Information Asymmetry</x:t>
  </x:si>
  <x:si>
    <x:t xml:space="preserve">information-asymmetry</x:t>
  </x:si>
  <x:si>
    <x:t xml:space="preserve">/wiki/economics-for-founders/information-asymmetry</x:t>
  </x:si>
  <x:si>
    <x:t xml:space="preserve">Game Theory &amp; Price Wars</x:t>
  </x:si>
  <x:si>
    <x:t xml:space="preserve">game-theory-price-wars</x:t>
  </x:si>
  <x:si>
    <x:t xml:space="preserve">/wiki/economics-for-founders/game-theory-price-wars</x:t>
  </x:si>
  <x:si>
    <x:t xml:space="preserve">cross-link pricing `competition-based-pricing`</x:t>
  </x:si>
  <x:si>
    <x:t xml:space="preserve">Behavioral Economics for Founders</x:t>
  </x:si>
  <x:si>
    <x:t xml:space="preserve">behavioral-economics</x:t>
  </x:si>
  <x:si>
    <x:t xml:space="preserve">/wiki/economics-for-founders/behavioral-economics</x:t>
  </x:si>
  <x:si>
    <x:t xml:space="preserve">Product-Led Growth</x:t>
  </x:si>
  <x:si>
    <x:t xml:space="preserve">product-led-growth</x:t>
  </x:si>
  <x:si>
    <x:t xml:space="preserve">/wiki/go-to-market/product-led-growth</x:t>
  </x:si>
  <x:si>
    <x:t xml:space="preserve">Week 8</x:t>
  </x:si>
  <x:si>
    <x:t xml:space="preserve">Sales-Led vs. Product-Led</x:t>
  </x:si>
  <x:si>
    <x:t xml:space="preserve">sales-led-vs-product-led</x:t>
  </x:si>
  <x:si>
    <x:t xml:space="preserve">/wiki/go-to-market/sales-led-vs-product-led</x:t>
  </x:si>
  <x:si>
    <x:t xml:space="preserve">Land-and-Expand</x:t>
  </x:si>
  <x:si>
    <x:t xml:space="preserve">land-and-expand</x:t>
  </x:si>
  <x:si>
    <x:t xml:space="preserve">/wiki/go-to-market/land-and-expand</x:t>
  </x:si>
  <x:si>
    <x:t xml:space="preserve">Customer Success</x:t>
  </x:si>
  <x:si>
    <x:t xml:space="preserve">customer-success</x:t>
  </x:si>
  <x:si>
    <x:t xml:space="preserve">/wiki/go-to-market/customer-success</x:t>
  </x:si>
  <x:si>
    <x:t xml:space="preserve">Crossing the Chasm</x:t>
  </x:si>
  <x:si>
    <x:t xml:space="preserve">crossing-the-chasm</x:t>
  </x:si>
  <x:si>
    <x:t xml:space="preserve">/wiki/strategy/crossing-the-chasm</x:t>
  </x:si>
  <x:si>
    <x:t xml:space="preserve">Flywheel Effects</x:t>
  </x:si>
  <x:si>
    <x:t xml:space="preserve">flywheel-effects</x:t>
  </x:si>
  <x:si>
    <x:t xml:space="preserve">/wiki/strategy/flywheel-effects</x:t>
  </x:si>
  <x:si>
    <x:t xml:space="preserve">Price Elasticity of Demand</x:t>
  </x:si>
  <x:si>
    <x:t xml:space="preserve">price-elasticity</x:t>
  </x:si>
  <x:si>
    <x:t xml:space="preserve">/wiki/economics-for-founders/price-elasticity</x:t>
  </x:si>
  <x:si>
    <x:t xml:space="preserve">Marginal Cost &amp; Marginal Revenue</x:t>
  </x:si>
  <x:si>
    <x:t xml:space="preserve">marginal-cost-marginal-revenue</x:t>
  </x:si>
  <x:si>
    <x:t xml:space="preserve">/wiki/economics-for-founders/marginal-cost-marginal-revenue</x:t>
  </x:si>
  <x:si>
    <x:t xml:space="preserve">Week 9</x:t>
  </x:si>
  <x:si>
    <x:t xml:space="preserve">Fixed vs. Variable Costs</x:t>
  </x:si>
  <x:si>
    <x:t xml:space="preserve">fixed-vs-variable-costs</x:t>
  </x:si>
  <x:si>
    <x:t xml:space="preserve">/wiki/economics-for-founders/fixed-vs-variable-costs</x:t>
  </x:si>
  <x:si>
    <x:t xml:space="preserve">SaaS</x:t>
  </x:si>
  <x:si>
    <x:t xml:space="preserve">saas</x:t>
  </x:si>
  <x:si>
    <x:t xml:space="preserve">/wiki/business-models/saas</x:t>
  </x:si>
  <x:si>
    <x:t xml:space="preserve">Platform vs. Pipeline</x:t>
  </x:si>
  <x:si>
    <x:t xml:space="preserve">platform-business-model</x:t>
  </x:si>
  <x:si>
    <x:t xml:space="preserve">/wiki/business-models/platform-business-model</x:t>
  </x:si>
  <x:si>
    <x:t xml:space="preserve">unit-economics</x:t>
  </x:si>
  <x:si>
    <x:t xml:space="preserve">/wiki/unit-economics</x:t>
  </x:si>
  <x:si>
    <x:t xml:space="preserve">CAC</x:t>
  </x:si>
  <x:si>
    <x:t xml:space="preserve">customer-acquisition-cost</x:t>
  </x:si>
  <x:si>
    <x:t xml:space="preserve">/wiki/unit-economics/customer-acquisition-cost</x:t>
  </x:si>
  <x:si>
    <x:t xml:space="preserve">LTV / CLV</x:t>
  </x:si>
  <x:si>
    <x:t xml:space="preserve">customer-lifetime-value</x:t>
  </x:si>
  <x:si>
    <x:t xml:space="preserve">/wiki/unit-economics/customer-lifetime-value</x:t>
  </x:si>
  <x:si>
    <x:t xml:space="preserve">LTV:CAC Ratio</x:t>
  </x:si>
  <x:si>
    <x:t xml:space="preserve">ltv-cac-ratio</x:t>
  </x:si>
  <x:si>
    <x:t xml:space="preserve">/wiki/unit-economics/ltv-cac-ratio</x:t>
  </x:si>
  <x:si>
    <x:t xml:space="preserve">Week 10</x:t>
  </x:si>
  <x:si>
    <x:t xml:space="preserve">CAC Payback Period</x:t>
  </x:si>
  <x:si>
    <x:t xml:space="preserve">cac-payback-period</x:t>
  </x:si>
  <x:si>
    <x:t xml:space="preserve">/wiki/unit-economics/cac-payback-period</x:t>
  </x:si>
  <x:si>
    <x:t xml:space="preserve">ARR &amp; MRR</x:t>
  </x:si>
  <x:si>
    <x:t xml:space="preserve">arr-mrr</x:t>
  </x:si>
  <x:si>
    <x:t xml:space="preserve">/wiki/unit-economics/arr-mrr</x:t>
  </x:si>
  <x:si>
    <x:t xml:space="preserve">Churn Rate</x:t>
  </x:si>
  <x:si>
    <x:t xml:space="preserve">churn-rate</x:t>
  </x:si>
  <x:si>
    <x:t xml:space="preserve">/wiki/unit-economics/churn-rate</x:t>
  </x:si>
  <x:si>
    <x:t xml:space="preserve">Gross Margin</x:t>
  </x:si>
  <x:si>
    <x:t xml:space="preserve">gross-margin</x:t>
  </x:si>
  <x:si>
    <x:t xml:space="preserve">/wiki/unit-economics/gross-margin</x:t>
  </x:si>
  <x:si>
    <x:t xml:space="preserve">Contribution Margin</x:t>
  </x:si>
  <x:si>
    <x:t xml:space="preserve">contribution-margin</x:t>
  </x:si>
  <x:si>
    <x:t xml:space="preserve">/wiki/unit-economics/contribution-margin</x:t>
  </x:si>
  <x:si>
    <x:t xml:space="preserve">NRR &amp; GRR</x:t>
  </x:si>
  <x:si>
    <x:t xml:space="preserve">net-revenue-retention</x:t>
  </x:si>
  <x:si>
    <x:t xml:space="preserve">/wiki/unit-economics/net-revenue-retention</x:t>
  </x:si>
  <x:si>
    <x:t xml:space="preserve">Burn Rate &amp; Runway</x:t>
  </x:si>
  <x:si>
    <x:t xml:space="preserve">burn-rate-runway</x:t>
  </x:si>
  <x:si>
    <x:t xml:space="preserve">/wiki/unit-economics/burn-rate-runway</x:t>
  </x:si>
  <x:si>
    <x:t xml:space="preserve">Week 11</x:t>
  </x:si>
  <x:si>
    <x:t xml:space="preserve">Rule of 40</x:t>
  </x:si>
  <x:si>
    <x:t xml:space="preserve">rule-of-40</x:t>
  </x:si>
  <x:si>
    <x:t xml:space="preserve">/wiki/unit-economics/rule-of-40</x:t>
  </x:si>
  <x:si>
    <x:t xml:space="preserve">Burn Multiple</x:t>
  </x:si>
  <x:si>
    <x:t xml:space="preserve">burn-multiple</x:t>
  </x:si>
  <x:si>
    <x:t xml:space="preserve">/wiki/unit-economics/burn-multiple</x:t>
  </x:si>
  <x:si>
    <x:t xml:space="preserve">Magic Number</x:t>
  </x:si>
  <x:si>
    <x:t xml:space="preserve">magic-number</x:t>
  </x:si>
  <x:si>
    <x:t xml:space="preserve">/wiki/unit-economics/magic-number</x:t>
  </x:si>
  <x:si>
    <x:t xml:space="preserve">Direct-to-Consumer (D2C)</x:t>
  </x:si>
  <x:si>
    <x:t xml:space="preserve">direct-to-consumer</x:t>
  </x:si>
  <x:si>
    <x:t xml:space="preserve">/wiki/business-models/direct-to-consumer</x:t>
  </x:si>
  <x:si>
    <x:t xml:space="preserve">Transaction Costs</x:t>
  </x:si>
  <x:si>
    <x:t xml:space="preserve">transaction-costs</x:t>
  </x:si>
  <x:si>
    <x:t xml:space="preserve">/wiki/economics-for-founders/transaction-costs</x:t>
  </x:si>
  <x:si>
    <x:t xml:space="preserve">Blue Ocean Strategy</x:t>
  </x:si>
  <x:si>
    <x:t xml:space="preserve">blue-ocean-strategy</x:t>
  </x:si>
  <x:si>
    <x:t xml:space="preserve">/wiki/strategy/blue-ocean-strategy</x:t>
  </x:si>
  <x:si>
    <x:t xml:space="preserve">Advertising Model</x:t>
  </x:si>
  <x:si>
    <x:t xml:space="preserve">advertising-model</x:t>
  </x:si>
  <x:si>
    <x:t xml:space="preserve">/wiki/business-models/advertising-model</x:t>
  </x:si>
  <x:si>
    <x:t xml:space="preserve">Week 12</x:t>
  </x:si>
  <x:si>
    <x:t xml:space="preserve">Sunk Cost Fallacy</x:t>
  </x:si>
  <x:si>
    <x:t xml:space="preserve">sunk-cost-fallacy</x:t>
  </x:si>
  <x:si>
    <x:t xml:space="preserve">/wiki/economics-for-founders/sunk-cost-fallacy</x:t>
  </x:si>
  <x:si>
    <x:t xml:space="preserve">Opportunity Cost</x:t>
  </x:si>
  <x:si>
    <x:t xml:space="preserve">opportunity-cost</x:t>
  </x:si>
  <x:si>
    <x:t xml:space="preserve">/wiki/economics-for-founders/opportunity-cost</x:t>
  </x:si>
</x:sst>
</file>

<file path=xl/styles.xml><?xml version="1.0" encoding="utf-8"?>
<x:styleSheet xmlns:x="http://schemas.openxmlformats.org/spreadsheetml/2006/main">
  <x:numFmts count="1">
    <x:numFmt numFmtId="164" formatCode="mmm\ d\,\ yyyy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BF360C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5722"/>
      </x:patternFill>
    </x:fill>
    <x:fill>
      <x:patternFill patternType="solid">
        <x:fgColor rgb="FF263238"/>
      </x:patternFill>
    </x:fill>
    <x:fill>
      <x:patternFill patternType="solid">
        <x:fgColor rgb="FFFFF3E0"/>
      </x:patternFill>
    </x:fill>
    <x:fill>
      <x:patternFill patternType="solid">
        <x:fgColor rgb="FFFFF2CC"/>
      </x:patternFill>
    </x:fill>
  </x:fills>
  <x:borders count="7">
    <x:border/>
    <x:border/>
    <x:border/>
    <x:border/>
    <x:border/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1" fillId="3" borderId="1" xfId="0" applyFont="1" applyFill="1" applyBorder="1"/>
    <x:xf numFmtId="0" fontId="1" fillId="3" borderId="2" xfId="0" applyFont="1" applyFill="1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2" fillId="0" borderId="5" xfId="0" applyFont="1" applyBorder="1"/>
    <x:xf numFmtId="0" fontId="1" fillId="3" borderId="1" xfId="0" applyFont="1" applyFill="1" applyBorder="1" applyAlignment="1">
      <x:alignment wrapText="1"/>
    </x:xf>
    <x:xf numFmtId="0" fontId="1" fillId="3" borderId="2" xfId="0" applyFont="1" applyFill="1" applyBorder="1" applyAlignment="1">
      <x:alignment wrapText="1"/>
    </x:xf>
    <x:xf numFmtId="0" fontId="2" fillId="0" borderId="3" xfId="0" applyFont="1" applyBorder="1" applyAlignment="1">
      <x:alignment wrapText="1"/>
    </x:xf>
    <x:xf numFmtId="0" fontId="0" fillId="0" borderId="4" xfId="0" applyBorder="1" applyAlignment="1">
      <x:alignment wrapText="1"/>
    </x:xf>
    <x:xf numFmtId="0" fontId="2" fillId="0" borderId="5" xfId="0" applyFont="1" applyBorder="1" applyAlignment="1">
      <x:alignment wrapText="1"/>
    </x:xf>
    <x:xf numFmtId="0" fontId="0" fillId="0" borderId="6" xfId="0" applyBorder="1" applyAlignment="1">
      <x:alignment wrapText="1"/>
    </x:xf>
    <x:xf numFmtId="0" fontId="2" fillId="0" borderId="6" xfId="0" applyFont="1" applyBorder="1"/>
    <x:xf numFmtId="0" fontId="0" fillId="0" borderId="0" xfId="0" applyAlignment="1">
      <x:alignment wrapText="1"/>
    </x:xf>
    <x:xf numFmtId="0" fontId="1" fillId="3" borderId="0" xfId="0" applyFont="1" applyFill="1" applyAlignment="1">
      <x:alignment horizontal="center" vertical="center" wrapText="1"/>
    </x:xf>
    <x:xf numFmtId="0" fontId="2" fillId="0" borderId="0" xfId="0" applyFont="1" applyAlignment="1">
      <x:alignment wrapText="1"/>
    </x:xf>
    <x:xf numFmtId="0" fontId="0" fillId="0" borderId="0" xfId="0" applyAlignment="1">
      <x:alignment horizontal="center"/>
    </x:xf>
    <x:xf numFmtId="164" fontId="0" fillId="0" borderId="0" xfId="0" applyNumberFormat="1" applyAlignment="1">
      <x:alignment horizontal="center"/>
    </x:xf>
    <x:xf numFmtId="0" fontId="0" fillId="5" borderId="0" xfId="0" applyFill="1" applyAlignment="1">
      <x:alignment horizontal="center"/>
    </x:xf>
    <x:xf numFmtId="164" fontId="0" fillId="5" borderId="0" xfId="0" applyNumberFormat="1" applyFill="1" applyAlignment="1">
      <x:alignment horizontal="center"/>
    </x:xf>
    <x:xf numFmtId="0" fontId="0" fillId="5" borderId="0" xfId="0" applyFill="1"/>
    <x:xf numFmtId="0" fontId="0" fillId="5" borderId="0" xfId="0" applyFill="1" applyAlignment="1">
      <x:alignment wrapText="1"/>
    </x:xf>
    <x:xf numFmtId="164" fontId="0" fillId="0" borderId="0" xfId="0" applyNumberFormat="1" applyAlignment="1">
      <x:alignment wrapText="1"/>
    </x:xf>
    <x:xf numFmtId="0" fontId="4" fillId="2" borderId="0" xfId="0" applyFont="1" applyFill="1" applyAlignment="1">
      <x:alignment horizontal="left" vertical="center"/>
    </x:xf>
    <x:xf numFmtId="0" fontId="3" fillId="4" borderId="0" xfId="0" applyFont="1" applyFill="1"/>
    <x:xf numFmtId="0" fontId="0" fillId="0" borderId="0" xfId="0" applyAlignment="1">
      <x:alignment vertical="top" wrapText="1"/>
    </x:xf>
    <x:xf numFmtId="0" fontId="5" fillId="2" borderId="0" xfId="0" applyFont="1" applyFill="1" applyAlignment="1">
      <x:alignment horizontal="left" vertical="center"/>
    </x:xf>
  </x:cellXfs>
  <x:cellStyles count="1">
    <x:cellStyle name="Normal" xfId="0"/>
  </x:cellStyles>
  <x:dxfs count="7">
    <x:dxf>
      <x:font>
        <x:color rgb="FF0D47A1"/>
      </x:font>
      <x:fill>
        <x:patternFill>
          <x:bgColor rgb="FFE3F2FD"/>
        </x:patternFill>
      </x:fill>
    </x:dxf>
    <x:dxf>
      <x:font>
        <x:color rgb="FFE65100"/>
      </x:font>
      <x:fill>
        <x:patternFill>
          <x:bgColor rgb="FFFFF3E0"/>
        </x:patternFill>
      </x:fill>
    </x:dxf>
    <x:dxf>
      <x:font>
        <x:b/>
        <x:color rgb="FF1B5E20"/>
      </x:font>
      <x:fill>
        <x:patternFill>
          <x:bgColor rgb="FFE8F5E9"/>
        </x:patternFill>
      </x:fill>
    </x:dxf>
    <x:dxf>
      <x:font>
        <x:b/>
        <x:color rgb="FF4A148C"/>
      </x:font>
      <x:fill>
        <x:patternFill>
          <x:bgColor rgb="FFF3E5F5"/>
        </x:patternFill>
      </x:fill>
    </x:dxf>
    <x:dxf>
      <x:font>
        <x:b/>
        <x:color rgb="FF0D47A1"/>
      </x:font>
      <x:fill>
        <x:patternFill>
          <x:bgColor rgb="FFE3F2FD"/>
        </x:patternFill>
      </x:fill>
    </x:dxf>
    <x:dxf>
      <x:font>
        <x:b/>
        <x:color rgb="FF8D6E00"/>
      </x:font>
      <x:fill>
        <x:patternFill>
          <x:bgColor rgb="FFFFECB3"/>
        </x:patternFill>
      </x:fill>
    </x:dxf>
    <x:dxf>
      <x:fill>
        <x:patternFill>
          <x:bgColor rgb="FFFFF8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91c4e230a4e2f" /><Relationship Type="http://schemas.openxmlformats.org/officeDocument/2006/relationships/theme" Target="/xl/theme/theme1.xml" Id="Rc81bf92735a84ca2" /><Relationship Type="http://schemas.openxmlformats.org/officeDocument/2006/relationships/sharedStrings" Target="/xl/sharedStrings.xml" Id="R0ec0b5e50073436d" /><Relationship Type="http://schemas.openxmlformats.org/officeDocument/2006/relationships/worksheet" Target="/xl/worksheets/sheet1.xml" Id="Rbe6c57ede2ad4f1e" /><Relationship Type="http://schemas.openxmlformats.org/officeDocument/2006/relationships/worksheet" Target="/xl/worksheets/sheet2.xml" Id="R023d9b3481c24c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c73ccd0c8d4d91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Concepts by Category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Concepts</c:v>
          </c:tx>
          <c:cat>
            <c:strRef>
              <c:f>Dashboard!$D$4:$D$11</c:f>
              <c:strCache>
                <c:ptCount val="8"/>
                <c:pt idx="0">
                  <c:v>Unit Economics</c:v>
                </c:pt>
                <c:pt idx="1">
                  <c:v>Economics for Founders</c:v>
                </c:pt>
                <c:pt idx="2">
                  <c:v>Business Models</c:v>
                </c:pt>
                <c:pt idx="3">
                  <c:v>Go-to-Market</c:v>
                </c:pt>
                <c:pt idx="4">
                  <c:v>AI Economics</c:v>
                </c:pt>
                <c:pt idx="5">
                  <c:v>Strategy</c:v>
                </c:pt>
                <c:pt idx="6">
                  <c:v>Fundraising</c:v>
                </c:pt>
                <c:pt idx="7">
                  <c:v>Uncategorized</c:v>
                </c:pt>
              </c:strCache>
            </c:strRef>
          </c:cat>
          <c:val>
            <c:numRef>
              <c:f>Dashboard!$E$4:$E$11</c:f>
              <c:numCache>
                <c:formatCode>General</c:formatCode>
                <c:ptCount val="8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11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c73ccd0c8d4d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ditorialCalendarTable" displayName="EditorialCalendarTable" ref="A3:L82" totalsRowShown="0">
  <x:autoFilter ref="A3:L82"/>
  <x:tableColumns count="12">
    <x:tableColumn id="1" name="Priority Rank"/>
    <x:tableColumn id="2" name="Date"/>
    <x:tableColumn id="3" name="Day"/>
    <x:tableColumn id="4" name="Week"/>
    <x:tableColumn id="5" name="Phase"/>
    <x:tableColumn id="6" name="Category"/>
    <x:tableColumn id="7" name="Concept"/>
    <x:tableColumn id="8" name="Page Type"/>
    <x:tableColumn id="9" name="Slug"/>
    <x:tableColumn id="10" name="Recommended URL"/>
    <x:tableColumn id="11" name="Status"/>
    <x:tableColumn id="12" name="Notes / Cross-lin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cded8716af49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1f19c6a7344455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42" customWidth="1"/>
    <x:col min="3" max="3" width="3" customWidth="1"/>
    <x:col min="4" max="4" width="26" customWidth="1"/>
    <x:col min="5" max="8" width="12" customWidth="1"/>
  </x:cols>
  <x:sheetData>
    <x:row r="1" ht="12.300000190734863" customHeight="1">
      <x:c r="A1" s="25" t="s">
        <x:v>0</x:v>
      </x:c>
      <x:c r="B1" s="25"/>
      <x:c r="C1" s="25"/>
      <x:c r="D1" s="25"/>
      <x:c r="E1" s="25"/>
      <x:c r="F1" s="25"/>
      <x:c r="G1" s="25"/>
      <x:c r="H1" s="25"/>
    </x:row>
    <x:row r="3">
      <x:c r="A3" s="8" t="s">
        <x:v>1</x:v>
      </x:c>
      <x:c r="B3" s="9" t="s">
        <x:v>2</x:v>
      </x:c>
      <x:c r="D3" s="1" t="s">
        <x:v>3</x:v>
      </x:c>
      <x:c r="E3" s="2" t="s">
        <x:v>4</x:v>
      </x:c>
    </x:row>
    <x:row r="4">
      <x:c r="A4" s="10" t="s">
        <x:v>5</x:v>
      </x:c>
      <x:c r="B4" s="24">
        <x:v>46215</x:v>
      </x:c>
      <x:c r="D4" s="3" t="s">
        <x:v>6</x:v>
      </x:c>
      <x:c r="E4" s="4" t="n">
        <x:f>COUNTIF('Editorial Calendar'!$F$4:$F$82,D4)</x:f>
        <x:v>15</x:v>
      </x:c>
    </x:row>
    <x:row r="5">
      <x:c r="A5" s="10" t="s">
        <x:v>7</x:v>
      </x:c>
      <x:c r="B5" s="11" t="s">
        <x:v>8</x:v>
      </x:c>
      <x:c r="D5" s="3" t="s">
        <x:v>9</x:v>
      </x:c>
      <x:c r="E5" s="4" t="n">
        <x:f>COUNTIF('Editorial Calendar'!$F$4:$F$82,D5)</x:f>
        <x:v>14</x:v>
      </x:c>
    </x:row>
    <x:row r="6">
      <x:c r="A6" s="10" t="s">
        <x:v>10</x:v>
      </x:c>
      <x:c r="B6" s="11" t="n">
        <x:f>SUM(B12:B14)</x:f>
        <x:v>79</x:v>
      </x:c>
      <x:c r="D6" s="3" t="s">
        <x:v>11</x:v>
      </x:c>
      <x:c r="E6" s="4" t="n">
        <x:f>COUNTIF('Editorial Calendar'!$F$4:$F$82,D6)</x:f>
        <x:v>14</x:v>
      </x:c>
    </x:row>
    <x:row r="7">
      <x:c r="A7" s="10" t="s">
        <x:v>12</x:v>
      </x:c>
      <x:c r="B7" s="24" t="n">
        <x:f>B4+B6-1</x:f>
        <x:v>46293</x:v>
      </x:c>
      <x:c r="D7" s="3" t="s">
        <x:v>13</x:v>
      </x:c>
      <x:c r="E7" s="4" t="n">
        <x:f>COUNTIF('Editorial Calendar'!$F$4:$F$82,D7)</x:f>
        <x:v>11</x:v>
      </x:c>
    </x:row>
    <x:row r="8" ht="27.600000381469727">
      <x:c r="A8" s="12" t="s">
        <x:v>14</x:v>
      </x:c>
      <x:c r="B8" s="13" t="s">
        <x:v>15</x:v>
      </x:c>
      <x:c r="D8" s="3" t="s">
        <x:v>16</x:v>
      </x:c>
      <x:c r="E8" s="4" t="n">
        <x:f>COUNTIF('Editorial Calendar'!$F$4:$F$82,D8)</x:f>
        <x:v>6</x:v>
      </x:c>
    </x:row>
    <x:row r="9" ht="27.600000381469727">
      <x:c r="A9" s="17" t="s">
        <x:v>17</x:v>
      </x:c>
      <x:c r="B9" s="15" t="s">
        <x:v>18</x:v>
      </x:c>
      <x:c r="D9" s="3" t="s">
        <x:v>19</x:v>
      </x:c>
      <x:c r="E9" s="4" t="n">
        <x:f>COUNTIF('Editorial Calendar'!$F$4:$F$82,D9)</x:f>
        <x:v>8</x:v>
      </x:c>
    </x:row>
    <x:row r="10">
      <x:c r="D10" s="5" t="s">
        <x:v>20</x:v>
      </x:c>
      <x:c r="E10" s="6" t="n">
        <x:f>COUNTIF('Editorial Calendar'!$F$4:$F$82,D10)</x:f>
        <x:v>10</x:v>
      </x:c>
    </x:row>
    <x:row r="11">
      <x:c r="A11" s="1" t="s">
        <x:v>21</x:v>
      </x:c>
      <x:c r="B11" s="2" t="s">
        <x:v>4</x:v>
      </x:c>
      <x:c r="D11" t="s">
        <x:v>22</x:v>
      </x:c>
      <x:c r="E11" t="n">
        <x:f>COUNTBLANK('Editorial Calendar'!$F$4:$F$82)</x:f>
        <x:v>1</x:v>
      </x:c>
    </x:row>
    <x:row r="12">
      <x:c r="A12" s="3" t="s">
        <x:v>23</x:v>
      </x:c>
      <x:c r="B12" s="4" t="n">
        <x:f>COUNTIF('Editorial Calendar'!$E$4:$E$82,A12)</x:f>
        <x:v>18</x:v>
      </x:c>
    </x:row>
    <x:row r="13">
      <x:c r="A13" s="3" t="s">
        <x:v>24</x:v>
      </x:c>
      <x:c r="B13" s="4" t="n">
        <x:f>COUNTIF('Editorial Calendar'!$E$4:$E$82,A13)</x:f>
        <x:v>41</x:v>
      </x:c>
    </x:row>
    <x:row r="14">
      <x:c r="A14" s="3" t="s">
        <x:v>25</x:v>
      </x:c>
      <x:c r="B14" s="4" t="n">
        <x:f>COUNTIF('Editorial Calendar'!$E$4:$E$82,A14)</x:f>
        <x:v>20</x:v>
      </x:c>
    </x:row>
    <x:row r="15">
      <x:c r="A15" s="7" t="s">
        <x:v>26</x:v>
      </x:c>
      <x:c r="B15" s="14" t="n">
        <x:f>SUM(B12:B14)</x:f>
        <x:v>79</x:v>
      </x:c>
    </x:row>
    <x:row r="18">
      <x:c r="A18" s="26" t="s">
        <x:v>27</x:v>
      </x:c>
      <x:c r="B18" s="26"/>
      <x:c r="C18" s="26"/>
      <x:c r="D18" s="26"/>
      <x:c r="E18" s="26"/>
      <x:c r="F18" s="26"/>
      <x:c r="G18" s="26"/>
      <x:c r="H18" s="26"/>
    </x:row>
    <x:row r="19">
      <x:c r="A19" s="27" t="s">
        <x:v>28</x:v>
      </x:c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</x:sheetData>
  <x:mergeCells>
    <x:mergeCell ref="A1:H1"/>
    <x:mergeCell ref="A18:H18"/>
    <x:mergeCell ref="A19:H21"/>
  </x:mergeCells>
  <x:pageMargins left="0.7" right="0.7" top="0.75" bottom="0.75" header="0.3" footer="0.3"/>
  <x:drawing xmlns:r="http://schemas.openxmlformats.org/officeDocument/2006/relationships" r:id="Radcded8716af49be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7.69921875" customWidth="1"/>
    <x:col min="2" max="2" width="11.59765625" customWidth="1"/>
    <x:col min="3" max="3" width="8" customWidth="1"/>
    <x:col min="4" max="4" width="8.296875" customWidth="1"/>
    <x:col min="5" max="5" width="8" customWidth="1"/>
    <x:col min="6" max="6" width="17.3984375" customWidth="1"/>
    <x:col min="7" max="7" width="34" customWidth="1"/>
    <x:col min="8" max="8" width="16" customWidth="1"/>
    <x:col min="9" max="9" width="32" customWidth="1"/>
    <x:col min="10" max="10" width="45" customWidth="1"/>
    <x:col min="11" max="11" width="14" customWidth="1"/>
    <x:col min="12" max="12" width="11.3984375" customWidth="1"/>
  </x:cols>
  <x:sheetData>
    <x:row r="1" ht="11.399999618530273" customHeight="1">
      <x:c r="A1" s="28" t="s">
        <x:v>29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3" ht="16.049999237060547" customHeight="1">
      <x:c r="A3" s="16" t="s">
        <x:v>30</x:v>
      </x:c>
      <x:c r="B3" s="16" t="s">
        <x:v>31</x:v>
      </x:c>
      <x:c r="C3" s="16" t="s">
        <x:v>32</x:v>
      </x:c>
      <x:c r="D3" s="16" t="s">
        <x:v>33</x:v>
      </x:c>
      <x:c r="E3" s="16" t="s">
        <x:v>21</x:v>
      </x:c>
      <x:c r="F3" s="16" t="s">
        <x:v>3</x:v>
      </x:c>
      <x:c r="G3" s="16" t="s">
        <x:v>34</x:v>
      </x:c>
      <x:c r="H3" s="16" t="s">
        <x:v>35</x:v>
      </x:c>
      <x:c r="I3" s="16" t="s">
        <x:v>36</x:v>
      </x:c>
      <x:c r="J3" s="16" t="s">
        <x:v>37</x:v>
      </x:c>
      <x:c r="K3" s="16" t="s">
        <x:v>38</x:v>
      </x:c>
      <x:c r="L3" s="16" t="s">
        <x:v>39</x:v>
      </x:c>
    </x:row>
    <x:row r="4" ht="13.5" customHeight="1">
      <x:c r="A4" s="20">
        <x:v>1</x:v>
      </x:c>
      <x:c r="B4" s="21">
        <x:v>46215</x:v>
      </x:c>
      <x:c r="C4" s="20" t="str">
        <x:f t="shared" ref="C4:C35" si="0">TEXT(B4,"ddd")</x:f>
        <x:v>Sun</x:v>
      </x:c>
      <x:c r="D4" s="20" t="s">
        <x:v>40</x:v>
      </x:c>
      <x:c r="E4" s="20" t="s">
        <x:v>23</x:v>
      </x:c>
      <x:c r="F4" s="22" t="s">
        <x:v>20</x:v>
      </x:c>
      <x:c r="G4" s="22" t="s">
        <x:v>41</x:v>
      </x:c>
      <x:c r="H4" s="22" t="s">
        <x:v>42</x:v>
      </x:c>
      <x:c r="I4" s="22" t="s">
        <x:v>43</x:v>
      </x:c>
      <x:c r="J4" s="22" t="s">
        <x:v>44</x:v>
      </x:c>
      <x:c r="K4" s="20" t="s">
        <x:v>45</x:v>
      </x:c>
      <x:c r="L4" s="23" t="s">
        <x:v>46</x:v>
      </x:c>
    </x:row>
    <x:row r="5" ht="13.5" customHeight="1">
      <x:c r="A5" s="20">
        <x:v>2</x:v>
      </x:c>
      <x:c r="B5" s="21">
        <x:v>46216</x:v>
      </x:c>
      <x:c r="C5" s="20" t="str">
        <x:f t="shared" si="0"/>
        <x:v>Mon</x:v>
      </x:c>
      <x:c r="D5" s="20" t="s">
        <x:v>40</x:v>
      </x:c>
      <x:c r="E5" s="20" t="s">
        <x:v>23</x:v>
      </x:c>
      <x:c r="F5" s="22" t="s">
        <x:v>20</x:v>
      </x:c>
      <x:c r="G5" s="22" t="s">
        <x:v>47</x:v>
      </x:c>
      <x:c r="H5" s="22" t="s">
        <x:v>48</x:v>
      </x:c>
      <x:c r="I5" s="22" t="s">
        <x:v>49</x:v>
      </x:c>
      <x:c r="J5" s="22" t="s">
        <x:v>50</x:v>
      </x:c>
      <x:c r="K5" s="20" t="s">
        <x:v>51</x:v>
      </x:c>
      <x:c r="L5" s="23"/>
    </x:row>
    <x:row r="6" ht="13.5" customHeight="1">
      <x:c r="A6" s="20">
        <x:v>3</x:v>
      </x:c>
      <x:c r="B6" s="21">
        <x:v>46217</x:v>
      </x:c>
      <x:c r="C6" s="20" t="str">
        <x:f t="shared" si="0"/>
        <x:v>Tue</x:v>
      </x:c>
      <x:c r="D6" s="20" t="s">
        <x:v>40</x:v>
      </x:c>
      <x:c r="E6" s="20" t="s">
        <x:v>23</x:v>
      </x:c>
      <x:c r="F6" s="22" t="s">
        <x:v>13</x:v>
      </x:c>
      <x:c r="G6" s="22" t="s">
        <x:v>52</x:v>
      </x:c>
      <x:c r="H6" s="22" t="s">
        <x:v>48</x:v>
      </x:c>
      <x:c r="I6" s="22" t="s">
        <x:v>53</x:v>
      </x:c>
      <x:c r="J6" s="22" t="s">
        <x:v>54</x:v>
      </x:c>
      <x:c r="K6" s="20" t="s">
        <x:v>51</x:v>
      </x:c>
      <x:c r="L6" s="23"/>
    </x:row>
    <x:row r="7" ht="13.5" customHeight="1">
      <x:c r="A7" s="20">
        <x:v>4</x:v>
      </x:c>
      <x:c r="B7" s="21">
        <x:v>46218</x:v>
      </x:c>
      <x:c r="C7" s="20" t="str">
        <x:f t="shared" si="0"/>
        <x:v>Wed</x:v>
      </x:c>
      <x:c r="D7" s="20" t="s">
        <x:v>40</x:v>
      </x:c>
      <x:c r="E7" s="20" t="s">
        <x:v>23</x:v>
      </x:c>
      <x:c r="F7" s="22" t="s">
        <x:v>20</x:v>
      </x:c>
      <x:c r="G7" s="22" t="s">
        <x:v>55</x:v>
      </x:c>
      <x:c r="H7" s="22" t="s">
        <x:v>48</x:v>
      </x:c>
      <x:c r="I7" s="22" t="s">
        <x:v>56</x:v>
      </x:c>
      <x:c r="J7" s="22" t="s">
        <x:v>57</x:v>
      </x:c>
      <x:c r="K7" s="20" t="s">
        <x:v>51</x:v>
      </x:c>
      <x:c r="L7" s="23"/>
    </x:row>
    <x:row r="8" ht="13.5" customHeight="1">
      <x:c r="A8" s="20">
        <x:v>5</x:v>
      </x:c>
      <x:c r="B8" s="21">
        <x:v>46219</x:v>
      </x:c>
      <x:c r="C8" s="20" t="str">
        <x:f t="shared" si="0"/>
        <x:v>Thu</x:v>
      </x:c>
      <x:c r="D8" s="20" t="s">
        <x:v>40</x:v>
      </x:c>
      <x:c r="E8" s="20" t="s">
        <x:v>23</x:v>
      </x:c>
      <x:c r="F8" s="22" t="s">
        <x:v>20</x:v>
      </x:c>
      <x:c r="G8" s="22" t="s">
        <x:v>58</x:v>
      </x:c>
      <x:c r="H8" s="22" t="s">
        <x:v>48</x:v>
      </x:c>
      <x:c r="I8" s="22" t="s">
        <x:v>59</x:v>
      </x:c>
      <x:c r="J8" s="22" t="s">
        <x:v>60</x:v>
      </x:c>
      <x:c r="K8" s="20" t="s">
        <x:v>51</x:v>
      </x:c>
      <x:c r="L8" s="23"/>
    </x:row>
    <x:row r="9" ht="13.5" customHeight="1">
      <x:c r="A9" s="20">
        <x:v>6</x:v>
      </x:c>
      <x:c r="B9" s="21">
        <x:v>46220</x:v>
      </x:c>
      <x:c r="C9" s="20" t="str">
        <x:f t="shared" si="0"/>
        <x:v>Fri</x:v>
      </x:c>
      <x:c r="D9" s="20" t="s">
        <x:v>40</x:v>
      </x:c>
      <x:c r="E9" s="20" t="s">
        <x:v>23</x:v>
      </x:c>
      <x:c r="F9" s="22" t="s">
        <x:v>20</x:v>
      </x:c>
      <x:c r="G9" s="22" t="s">
        <x:v>61</x:v>
      </x:c>
      <x:c r="H9" s="22" t="s">
        <x:v>48</x:v>
      </x:c>
      <x:c r="I9" s="22" t="s">
        <x:v>62</x:v>
      </x:c>
      <x:c r="J9" s="22" t="s">
        <x:v>63</x:v>
      </x:c>
      <x:c r="K9" s="20" t="str">
        <x:v>Draft Complete</x:v>
      </x:c>
      <x:c r="L9" s="23"/>
    </x:row>
    <x:row r="10" ht="13.5" customHeight="1">
      <x:c r="A10" s="20">
        <x:v>7</x:v>
      </x:c>
      <x:c r="B10" s="21">
        <x:v>46221</x:v>
      </x:c>
      <x:c r="C10" s="20" t="str">
        <x:f t="shared" si="0"/>
        <x:v>Sat</x:v>
      </x:c>
      <x:c r="D10" s="20" t="s">
        <x:v>40</x:v>
      </x:c>
      <x:c r="E10" s="20" t="s">
        <x:v>23</x:v>
      </x:c>
      <x:c r="F10" s="22" t="s">
        <x:v>20</x:v>
      </x:c>
      <x:c r="G10" s="22" t="s">
        <x:v>64</x:v>
      </x:c>
      <x:c r="H10" s="22" t="s">
        <x:v>48</x:v>
      </x:c>
      <x:c r="I10" s="22" t="s">
        <x:v>65</x:v>
      </x:c>
      <x:c r="J10" s="22" t="s">
        <x:v>66</x:v>
      </x:c>
      <x:c r="K10" s="20" t="str">
        <x:v>Draft Complete</x:v>
      </x:c>
      <x:c r="L10" s="23"/>
    </x:row>
    <x:row r="11" ht="13.5" customHeight="1">
      <x:c r="A11" s="20">
        <x:v>8</x:v>
      </x:c>
      <x:c r="B11" s="21">
        <x:v>46222</x:v>
      </x:c>
      <x:c r="C11" s="20" t="str">
        <x:f t="shared" si="0"/>
        <x:v>Sun</x:v>
      </x:c>
      <x:c r="D11" s="20" t="s">
        <x:v>67</x:v>
      </x:c>
      <x:c r="E11" s="20" t="s">
        <x:v>23</x:v>
      </x:c>
      <x:c r="F11" s="22" t="s">
        <x:v>20</x:v>
      </x:c>
      <x:c r="G11" s="22" t="s">
        <x:v>68</x:v>
      </x:c>
      <x:c r="H11" s="22" t="s">
        <x:v>48</x:v>
      </x:c>
      <x:c r="I11" s="22" t="s">
        <x:v>69</x:v>
      </x:c>
      <x:c r="J11" s="22" t="s">
        <x:v>70</x:v>
      </x:c>
      <x:c r="K11" s="20" t="str">
        <x:v>Draft Complete</x:v>
      </x:c>
      <x:c r="L11" s="23"/>
    </x:row>
    <x:row r="12" ht="13.5" customHeight="1">
      <x:c r="A12" s="20">
        <x:v>9</x:v>
      </x:c>
      <x:c r="B12" s="21">
        <x:v>46223</x:v>
      </x:c>
      <x:c r="C12" s="20" t="str">
        <x:f t="shared" si="0"/>
        <x:v>Mon</x:v>
      </x:c>
      <x:c r="D12" s="20" t="s">
        <x:v>67</x:v>
      </x:c>
      <x:c r="E12" s="20" t="s">
        <x:v>23</x:v>
      </x:c>
      <x:c r="F12" s="22" t="s">
        <x:v>20</x:v>
      </x:c>
      <x:c r="G12" s="22" t="s">
        <x:v>71</x:v>
      </x:c>
      <x:c r="H12" s="22" t="s">
        <x:v>48</x:v>
      </x:c>
      <x:c r="I12" s="22" t="s">
        <x:v>72</x:v>
      </x:c>
      <x:c r="J12" s="22" t="s">
        <x:v>73</x:v>
      </x:c>
      <x:c r="K12" s="20" t="str">
        <x:v>Draft Complete</x:v>
      </x:c>
      <x:c r="L12" s="23"/>
    </x:row>
    <x:row r="13" ht="13.5" customHeight="1">
      <x:c r="A13" s="20">
        <x:v>10</x:v>
      </x:c>
      <x:c r="B13" s="21">
        <x:v>46224</x:v>
      </x:c>
      <x:c r="C13" s="20" t="str">
        <x:f t="shared" si="0"/>
        <x:v>Tue</x:v>
      </x:c>
      <x:c r="D13" s="20" t="s">
        <x:v>67</x:v>
      </x:c>
      <x:c r="E13" s="20" t="s">
        <x:v>23</x:v>
      </x:c>
      <x:c r="F13" s="22" t="s">
        <x:v>20</x:v>
      </x:c>
      <x:c r="G13" s="22" t="s">
        <x:v>74</x:v>
      </x:c>
      <x:c r="H13" s="22" t="s">
        <x:v>75</x:v>
      </x:c>
      <x:c r="I13" s="22" t="s">
        <x:v>76</x:v>
      </x:c>
      <x:c r="J13" s="22" t="s">
        <x:v>77</x:v>
      </x:c>
      <x:c r="K13" s="20" t="s">
        <x:v>78</x:v>
      </x:c>
      <x:c r="L13" s="23"/>
    </x:row>
    <x:row r="14" ht="13.5" customHeight="1">
      <x:c r="A14" s="20">
        <x:v>11</x:v>
      </x:c>
      <x:c r="B14" s="21">
        <x:v>46225</x:v>
      </x:c>
      <x:c r="C14" s="20" t="str">
        <x:f t="shared" si="0"/>
        <x:v>Wed</x:v>
      </x:c>
      <x:c r="D14" s="20" t="s">
        <x:v>67</x:v>
      </x:c>
      <x:c r="E14" s="20" t="s">
        <x:v>23</x:v>
      </x:c>
      <x:c r="F14" s="22" t="s">
        <x:v>20</x:v>
      </x:c>
      <x:c r="G14" s="22" t="s">
        <x:v>79</x:v>
      </x:c>
      <x:c r="H14" s="22" t="s">
        <x:v>48</x:v>
      </x:c>
      <x:c r="I14" s="22" t="s">
        <x:v>80</x:v>
      </x:c>
      <x:c r="J14" s="22" t="s">
        <x:v>81</x:v>
      </x:c>
      <x:c r="K14" s="20" t="s">
        <x:v>78</x:v>
      </x:c>
      <x:c r="L14" s="23"/>
    </x:row>
    <x:row r="15" ht="13.5" customHeight="1">
      <x:c r="A15" s="20">
        <x:v>12</x:v>
      </x:c>
      <x:c r="B15" s="21">
        <x:v>46226</x:v>
      </x:c>
      <x:c r="C15" s="20" t="str">
        <x:f t="shared" si="0"/>
        <x:v>Thu</x:v>
      </x:c>
      <x:c r="D15" s="20" t="s">
        <x:v>67</x:v>
      </x:c>
      <x:c r="E15" s="20" t="s">
        <x:v>23</x:v>
      </x:c>
      <x:c r="F15" s="22" t="s">
        <x:v>16</x:v>
      </x:c>
      <x:c r="G15" s="22" t="s">
        <x:v>82</x:v>
      </x:c>
      <x:c r="H15" s="22" t="s">
        <x:v>48</x:v>
      </x:c>
      <x:c r="I15" s="22" t="s">
        <x:v>83</x:v>
      </x:c>
      <x:c r="J15" s="22" t="s">
        <x:v>84</x:v>
      </x:c>
      <x:c r="K15" s="20" t="s">
        <x:v>78</x:v>
      </x:c>
      <x:c r="L15" s="23"/>
    </x:row>
    <x:row r="16" ht="13.5" customHeight="1">
      <x:c r="A16" s="20">
        <x:v>13</x:v>
      </x:c>
      <x:c r="B16" s="21">
        <x:v>46227</x:v>
      </x:c>
      <x:c r="C16" s="20" t="str">
        <x:f t="shared" si="0"/>
        <x:v>Fri</x:v>
      </x:c>
      <x:c r="D16" s="20" t="s">
        <x:v>67</x:v>
      </x:c>
      <x:c r="E16" s="20" t="s">
        <x:v>23</x:v>
      </x:c>
      <x:c r="F16" s="22" t="s">
        <x:v>11</x:v>
      </x:c>
      <x:c r="G16" s="22" t="s">
        <x:v>85</x:v>
      </x:c>
      <x:c r="H16" s="22" t="s">
        <x:v>48</x:v>
      </x:c>
      <x:c r="I16" s="22" t="s">
        <x:v>86</x:v>
      </x:c>
      <x:c r="J16" s="22" t="s">
        <x:v>87</x:v>
      </x:c>
      <x:c r="K16" s="20" t="s">
        <x:v>78</x:v>
      </x:c>
      <x:c r="L16" s="23"/>
    </x:row>
    <x:row r="17" ht="13.5" customHeight="1">
      <x:c r="A17" s="20">
        <x:v>14</x:v>
      </x:c>
      <x:c r="B17" s="21">
        <x:v>46228</x:v>
      </x:c>
      <x:c r="C17" s="20" t="str">
        <x:f t="shared" si="0"/>
        <x:v>Sat</x:v>
      </x:c>
      <x:c r="D17" s="20" t="s">
        <x:v>67</x:v>
      </x:c>
      <x:c r="E17" s="20" t="s">
        <x:v>23</x:v>
      </x:c>
      <x:c r="F17" s="22" t="s">
        <x:v>11</x:v>
      </x:c>
      <x:c r="G17" s="22" t="s">
        <x:v>88</x:v>
      </x:c>
      <x:c r="H17" s="22" t="s">
        <x:v>48</x:v>
      </x:c>
      <x:c r="I17" s="22" t="s">
        <x:v>89</x:v>
      </x:c>
      <x:c r="J17" s="22" t="s">
        <x:v>90</x:v>
      </x:c>
      <x:c r="K17" s="20" t="s">
        <x:v>78</x:v>
      </x:c>
      <x:c r="L17" s="23"/>
    </x:row>
    <x:row r="18" ht="13.5" customHeight="1">
      <x:c r="A18" s="20">
        <x:v>15</x:v>
      </x:c>
      <x:c r="B18" s="21">
        <x:v>46229</x:v>
      </x:c>
      <x:c r="C18" s="20" t="str">
        <x:f t="shared" si="0"/>
        <x:v>Sun</x:v>
      </x:c>
      <x:c r="D18" s="20" t="s">
        <x:v>91</x:v>
      </x:c>
      <x:c r="E18" s="20" t="s">
        <x:v>23</x:v>
      </x:c>
      <x:c r="F18" s="22" t="s">
        <x:v>11</x:v>
      </x:c>
      <x:c r="G18" s="22" t="s">
        <x:v>92</x:v>
      </x:c>
      <x:c r="H18" s="22" t="s">
        <x:v>48</x:v>
      </x:c>
      <x:c r="I18" s="22" t="s">
        <x:v>93</x:v>
      </x:c>
      <x:c r="J18" s="22" t="s">
        <x:v>94</x:v>
      </x:c>
      <x:c r="K18" s="20" t="s">
        <x:v>78</x:v>
      </x:c>
      <x:c r="L18" s="23"/>
    </x:row>
    <x:row r="19" ht="13.5" customHeight="1">
      <x:c r="A19" s="20">
        <x:v>16</x:v>
      </x:c>
      <x:c r="B19" s="21">
        <x:v>46230</x:v>
      </x:c>
      <x:c r="C19" s="20" t="str">
        <x:f t="shared" si="0"/>
        <x:v>Mon</x:v>
      </x:c>
      <x:c r="D19" s="20" t="s">
        <x:v>91</x:v>
      </x:c>
      <x:c r="E19" s="20" t="s">
        <x:v>23</x:v>
      </x:c>
      <x:c r="F19" s="22" t="s">
        <x:v>9</x:v>
      </x:c>
      <x:c r="G19" s="22" t="s">
        <x:v>95</x:v>
      </x:c>
      <x:c r="H19" s="22" t="s">
        <x:v>48</x:v>
      </x:c>
      <x:c r="I19" s="22" t="s">
        <x:v>96</x:v>
      </x:c>
      <x:c r="J19" s="22" t="s">
        <x:v>97</x:v>
      </x:c>
      <x:c r="K19" s="20" t="s">
        <x:v>78</x:v>
      </x:c>
      <x:c r="L19" s="23"/>
    </x:row>
    <x:row r="20" ht="13.5" customHeight="1">
      <x:c r="A20" s="20">
        <x:v>17</x:v>
      </x:c>
      <x:c r="B20" s="21">
        <x:v>46231</x:v>
      </x:c>
      <x:c r="C20" s="20" t="str">
        <x:f t="shared" si="0"/>
        <x:v>Tue</x:v>
      </x:c>
      <x:c r="D20" s="20" t="s">
        <x:v>91</x:v>
      </x:c>
      <x:c r="E20" s="20" t="s">
        <x:v>23</x:v>
      </x:c>
      <x:c r="F20" s="22" t="s">
        <x:v>11</x:v>
      </x:c>
      <x:c r="G20" s="22" t="s">
        <x:v>98</x:v>
      </x:c>
      <x:c r="H20" s="22" t="s">
        <x:v>48</x:v>
      </x:c>
      <x:c r="I20" s="22" t="s">
        <x:v>99</x:v>
      </x:c>
      <x:c r="J20" s="22" t="s">
        <x:v>100</x:v>
      </x:c>
      <x:c r="K20" s="20" t="s">
        <x:v>78</x:v>
      </x:c>
      <x:c r="L20" s="23"/>
    </x:row>
    <x:row r="21" ht="13.5" customHeight="1">
      <x:c r="A21" s="20">
        <x:v>18</x:v>
      </x:c>
      <x:c r="B21" s="21">
        <x:v>46232</x:v>
      </x:c>
      <x:c r="C21" s="20" t="str">
        <x:f t="shared" si="0"/>
        <x:v>Wed</x:v>
      </x:c>
      <x:c r="D21" s="20" t="s">
        <x:v>91</x:v>
      </x:c>
      <x:c r="E21" s="20" t="s">
        <x:v>23</x:v>
      </x:c>
      <x:c r="F21" s="22" t="s">
        <x:v>11</x:v>
      </x:c>
      <x:c r="G21" s="22" t="s">
        <x:v>101</x:v>
      </x:c>
      <x:c r="H21" s="22" t="s">
        <x:v>48</x:v>
      </x:c>
      <x:c r="I21" s="22" t="s">
        <x:v>102</x:v>
      </x:c>
      <x:c r="J21" s="22" t="s">
        <x:v>103</x:v>
      </x:c>
      <x:c r="K21" s="20" t="s">
        <x:v>78</x:v>
      </x:c>
      <x:c r="L21" s="23"/>
    </x:row>
    <x:row r="22" ht="13.5" customHeight="1">
      <x:c r="A22" s="18">
        <x:v>19</x:v>
      </x:c>
      <x:c r="B22" s="19">
        <x:v>46233</x:v>
      </x:c>
      <x:c r="C22" s="18" t="str">
        <x:f t="shared" si="0"/>
        <x:v>Thu</x:v>
      </x:c>
      <x:c r="D22" s="18" t="s">
        <x:v>91</x:v>
      </x:c>
      <x:c r="E22" s="18" t="s">
        <x:v>24</x:v>
      </x:c>
      <x:c r="F22" t="s">
        <x:v>13</x:v>
      </x:c>
      <x:c r="G22" t="s">
        <x:v>104</x:v>
      </x:c>
      <x:c r="H22" t="s">
        <x:v>48</x:v>
      </x:c>
      <x:c r="I22" t="s">
        <x:v>105</x:v>
      </x:c>
      <x:c r="J22" t="s">
        <x:v>106</x:v>
      </x:c>
      <x:c r="K22" s="18" t="s">
        <x:v>78</x:v>
      </x:c>
      <x:c r="L22" s="15"/>
    </x:row>
    <x:row r="23" ht="13.5" customHeight="1">
      <x:c r="A23" s="18">
        <x:v>20</x:v>
      </x:c>
      <x:c r="B23" s="19">
        <x:v>46234</x:v>
      </x:c>
      <x:c r="C23" s="18" t="str">
        <x:f t="shared" si="0"/>
        <x:v>Fri</x:v>
      </x:c>
      <x:c r="D23" s="18" t="s">
        <x:v>91</x:v>
      </x:c>
      <x:c r="E23" s="18" t="s">
        <x:v>24</x:v>
      </x:c>
      <x:c r="F23" t="s">
        <x:v>13</x:v>
      </x:c>
      <x:c r="G23" t="s">
        <x:v>107</x:v>
      </x:c>
      <x:c r="H23" t="s">
        <x:v>48</x:v>
      </x:c>
      <x:c r="I23" t="s">
        <x:v>108</x:v>
      </x:c>
      <x:c r="J23" t="s">
        <x:v>109</x:v>
      </x:c>
      <x:c r="K23" s="18" t="s">
        <x:v>78</x:v>
      </x:c>
      <x:c r="L23" s="15"/>
    </x:row>
    <x:row r="24" ht="13.5" customHeight="1">
      <x:c r="A24" s="18">
        <x:v>21</x:v>
      </x:c>
      <x:c r="B24" s="19">
        <x:v>46235</x:v>
      </x:c>
      <x:c r="C24" s="18" t="str">
        <x:f t="shared" si="0"/>
        <x:v>Sat</x:v>
      </x:c>
      <x:c r="D24" s="18" t="s">
        <x:v>91</x:v>
      </x:c>
      <x:c r="E24" s="18" t="s">
        <x:v>24</x:v>
      </x:c>
      <x:c r="F24" t="s">
        <x:v>11</x:v>
      </x:c>
      <x:c r="G24" t="s">
        <x:v>110</x:v>
      </x:c>
      <x:c r="H24" t="s">
        <x:v>42</x:v>
      </x:c>
      <x:c r="I24" t="s">
        <x:v>111</x:v>
      </x:c>
      <x:c r="J24" t="s">
        <x:v>112</x:v>
      </x:c>
      <x:c r="K24" s="18" t="s">
        <x:v>45</x:v>
      </x:c>
      <x:c r="L24" s="15" t="s">
        <x:v>113</x:v>
      </x:c>
    </x:row>
    <x:row r="25" ht="13.5" customHeight="1">
      <x:c r="A25" s="18">
        <x:v>22</x:v>
      </x:c>
      <x:c r="B25" s="19">
        <x:v>46236</x:v>
      </x:c>
      <x:c r="C25" s="18" t="str">
        <x:f t="shared" si="0"/>
        <x:v>Sun</x:v>
      </x:c>
      <x:c r="D25" s="18" t="s">
        <x:v>114</x:v>
      </x:c>
      <x:c r="E25" s="18" t="s">
        <x:v>24</x:v>
      </x:c>
      <x:c r="F25" t="s">
        <x:v>13</x:v>
      </x:c>
      <x:c r="G25" t="s">
        <x:v>115</x:v>
      </x:c>
      <x:c r="H25" t="s">
        <x:v>42</x:v>
      </x:c>
      <x:c r="I25" t="s">
        <x:v>116</x:v>
      </x:c>
      <x:c r="J25" t="s">
        <x:v>117</x:v>
      </x:c>
      <x:c r="K25" s="18" t="s">
        <x:v>45</x:v>
      </x:c>
      <x:c r="L25" s="15" t="s">
        <x:v>113</x:v>
      </x:c>
    </x:row>
    <x:row r="26" ht="9.899999618530273" customHeight="1">
      <x:c r="A26" s="18">
        <x:v>23</x:v>
      </x:c>
      <x:c r="B26" s="19">
        <x:v>46237</x:v>
      </x:c>
      <x:c r="C26" s="18" t="str">
        <x:f t="shared" si="0"/>
        <x:v>Mon</x:v>
      </x:c>
      <x:c r="D26" s="18" t="s">
        <x:v>114</x:v>
      </x:c>
      <x:c r="E26" s="18" t="s">
        <x:v>24</x:v>
      </x:c>
      <x:c r="F26" t="s">
        <x:v>13</x:v>
      </x:c>
      <x:c r="G26" t="s">
        <x:v>118</x:v>
      </x:c>
      <x:c r="H26" t="s">
        <x:v>48</x:v>
      </x:c>
      <x:c r="I26" t="s">
        <x:v>119</x:v>
      </x:c>
      <x:c r="J26" t="s">
        <x:v>120</x:v>
      </x:c>
      <x:c r="K26" s="18" t="s">
        <x:v>78</x:v>
      </x:c>
      <x:c r="L26" s="15"/>
    </x:row>
    <x:row r="27" ht="13.5" customHeight="1">
      <x:c r="A27" s="18">
        <x:v>24</x:v>
      </x:c>
      <x:c r="B27" s="19">
        <x:v>46238</x:v>
      </x:c>
      <x:c r="C27" s="18" t="str">
        <x:f t="shared" si="0"/>
        <x:v>Tue</x:v>
      </x:c>
      <x:c r="D27" s="18" t="s">
        <x:v>114</x:v>
      </x:c>
      <x:c r="E27" s="18" t="s">
        <x:v>24</x:v>
      </x:c>
      <x:c r="F27" t="s">
        <x:v>13</x:v>
      </x:c>
      <x:c r="G27" t="s">
        <x:v>121</x:v>
      </x:c>
      <x:c r="H27" t="s">
        <x:v>48</x:v>
      </x:c>
      <x:c r="I27" t="s">
        <x:v>122</x:v>
      </x:c>
      <x:c r="J27" t="s">
        <x:v>123</x:v>
      </x:c>
      <x:c r="K27" s="18" t="s">
        <x:v>78</x:v>
      </x:c>
      <x:c r="L27" s="15"/>
    </x:row>
    <x:row r="28" ht="13.5" customHeight="1">
      <x:c r="A28" s="18">
        <x:v>25</x:v>
      </x:c>
      <x:c r="B28" s="19">
        <x:v>46239</x:v>
      </x:c>
      <x:c r="C28" s="18" t="str">
        <x:f t="shared" si="0"/>
        <x:v>Wed</x:v>
      </x:c>
      <x:c r="D28" s="18" t="s">
        <x:v>114</x:v>
      </x:c>
      <x:c r="E28" s="18" t="s">
        <x:v>24</x:v>
      </x:c>
      <x:c r="F28" t="s">
        <x:v>19</x:v>
      </x:c>
      <x:c r="G28" t="s">
        <x:v>124</x:v>
      </x:c>
      <x:c r="H28" t="s">
        <x:v>48</x:v>
      </x:c>
      <x:c r="I28" t="s">
        <x:v>125</x:v>
      </x:c>
      <x:c r="J28" t="s">
        <x:v>126</x:v>
      </x:c>
      <x:c r="K28" s="18" t="s">
        <x:v>78</x:v>
      </x:c>
      <x:c r="L28" s="15"/>
    </x:row>
    <x:row r="29" ht="13.5" customHeight="1">
      <x:c r="A29" s="18">
        <x:v>26</x:v>
      </x:c>
      <x:c r="B29" s="19">
        <x:v>46240</x:v>
      </x:c>
      <x:c r="C29" s="18" t="str">
        <x:f t="shared" si="0"/>
        <x:v>Thu</x:v>
      </x:c>
      <x:c r="D29" s="18" t="s">
        <x:v>114</x:v>
      </x:c>
      <x:c r="E29" s="18" t="s">
        <x:v>24</x:v>
      </x:c>
      <x:c r="F29" t="s">
        <x:v>9</x:v>
      </x:c>
      <x:c r="G29" t="s">
        <x:v>127</x:v>
      </x:c>
      <x:c r="H29" t="s">
        <x:v>48</x:v>
      </x:c>
      <x:c r="I29" t="s">
        <x:v>128</x:v>
      </x:c>
      <x:c r="J29" t="s">
        <x:v>129</x:v>
      </x:c>
      <x:c r="K29" s="18" t="s">
        <x:v>78</x:v>
      </x:c>
      <x:c r="L29" s="15"/>
    </x:row>
    <x:row r="30" ht="13.5" customHeight="1">
      <x:c r="A30" s="18">
        <x:v>27</x:v>
      </x:c>
      <x:c r="B30" s="19">
        <x:v>46241</x:v>
      </x:c>
      <x:c r="C30" s="18" t="str">
        <x:f t="shared" si="0"/>
        <x:v>Fri</x:v>
      </x:c>
      <x:c r="D30" s="18" t="s">
        <x:v>114</x:v>
      </x:c>
      <x:c r="E30" s="18" t="s">
        <x:v>24</x:v>
      </x:c>
      <x:c r="F30" t="s">
        <x:v>9</x:v>
      </x:c>
      <x:c r="G30" t="s">
        <x:v>130</x:v>
      </x:c>
      <x:c r="H30" t="s">
        <x:v>48</x:v>
      </x:c>
      <x:c r="I30" t="s">
        <x:v>131</x:v>
      </x:c>
      <x:c r="J30" t="s">
        <x:v>132</x:v>
      </x:c>
      <x:c r="K30" s="18" t="s">
        <x:v>78</x:v>
      </x:c>
      <x:c r="L30" s="15"/>
    </x:row>
    <x:row r="31" ht="13.5" customHeight="1">
      <x:c r="A31" s="18">
        <x:v>28</x:v>
      </x:c>
      <x:c r="B31" s="19">
        <x:v>46242</x:v>
      </x:c>
      <x:c r="C31" s="18" t="str">
        <x:f t="shared" si="0"/>
        <x:v>Sat</x:v>
      </x:c>
      <x:c r="D31" s="18" t="s">
        <x:v>114</x:v>
      </x:c>
      <x:c r="E31" s="18" t="s">
        <x:v>24</x:v>
      </x:c>
      <x:c r="F31" t="s">
        <x:v>9</x:v>
      </x:c>
      <x:c r="G31" t="s">
        <x:v>133</x:v>
      </x:c>
      <x:c r="H31" t="s">
        <x:v>48</x:v>
      </x:c>
      <x:c r="I31" t="s">
        <x:v>134</x:v>
      </x:c>
      <x:c r="J31" t="s">
        <x:v>135</x:v>
      </x:c>
      <x:c r="K31" s="18" t="s">
        <x:v>78</x:v>
      </x:c>
      <x:c r="L31" s="15"/>
    </x:row>
    <x:row r="32" ht="13.5" customHeight="1">
      <x:c r="A32" s="18">
        <x:v>29</x:v>
      </x:c>
      <x:c r="B32" s="19">
        <x:v>46243</x:v>
      </x:c>
      <x:c r="C32" s="18" t="str">
        <x:f t="shared" si="0"/>
        <x:v>Sun</x:v>
      </x:c>
      <x:c r="D32" s="18" t="s">
        <x:v>136</x:v>
      </x:c>
      <x:c r="E32" s="18" t="s">
        <x:v>24</x:v>
      </x:c>
      <x:c r="F32" t="s">
        <x:v>16</x:v>
      </x:c>
      <x:c r="G32" t="s">
        <x:v>137</x:v>
      </x:c>
      <x:c r="H32" t="s">
        <x:v>75</x:v>
      </x:c>
      <x:c r="I32" t="s">
        <x:v>138</x:v>
      </x:c>
      <x:c r="J32" t="s">
        <x:v>139</x:v>
      </x:c>
      <x:c r="K32" s="18" t="s">
        <x:v>78</x:v>
      </x:c>
      <x:c r="L32" s="15"/>
    </x:row>
    <x:row r="33" ht="13.5" customHeight="1">
      <x:c r="A33" s="18">
        <x:v>30</x:v>
      </x:c>
      <x:c r="B33" s="19">
        <x:v>46244</x:v>
      </x:c>
      <x:c r="C33" s="18" t="str">
        <x:f t="shared" si="0"/>
        <x:v>Mon</x:v>
      </x:c>
      <x:c r="D33" s="18" t="s">
        <x:v>136</x:v>
      </x:c>
      <x:c r="E33" s="18" t="s">
        <x:v>24</x:v>
      </x:c>
      <x:c r="F33" t="s">
        <x:v>16</x:v>
      </x:c>
      <x:c r="G33" t="s">
        <x:v>140</x:v>
      </x:c>
      <x:c r="H33" t="s">
        <x:v>75</x:v>
      </x:c>
      <x:c r="I33" t="s">
        <x:v>141</x:v>
      </x:c>
      <x:c r="J33" t="s">
        <x:v>142</x:v>
      </x:c>
      <x:c r="K33" s="18" t="s">
        <x:v>78</x:v>
      </x:c>
      <x:c r="L33" s="15"/>
    </x:row>
    <x:row r="34" ht="13.5" customHeight="1">
      <x:c r="A34" s="18">
        <x:v>31</x:v>
      </x:c>
      <x:c r="B34" s="19">
        <x:v>46245</x:v>
      </x:c>
      <x:c r="C34" s="18" t="str">
        <x:f t="shared" si="0"/>
        <x:v>Tue</x:v>
      </x:c>
      <x:c r="D34" s="18" t="s">
        <x:v>136</x:v>
      </x:c>
      <x:c r="E34" s="18" t="s">
        <x:v>24</x:v>
      </x:c>
      <x:c r="F34" t="s">
        <x:v>11</x:v>
      </x:c>
      <x:c r="G34" t="s">
        <x:v>143</x:v>
      </x:c>
      <x:c r="H34" t="s">
        <x:v>48</x:v>
      </x:c>
      <x:c r="I34" t="s">
        <x:v>144</x:v>
      </x:c>
      <x:c r="J34" t="s">
        <x:v>145</x:v>
      </x:c>
      <x:c r="K34" s="18" t="s">
        <x:v>78</x:v>
      </x:c>
      <x:c r="L34" s="15"/>
    </x:row>
    <x:row r="35" ht="13.5" customHeight="1">
      <x:c r="A35" s="18">
        <x:v>32</x:v>
      </x:c>
      <x:c r="B35" s="19">
        <x:v>46246</x:v>
      </x:c>
      <x:c r="C35" s="18" t="str">
        <x:f t="shared" si="0"/>
        <x:v>Wed</x:v>
      </x:c>
      <x:c r="D35" s="18" t="s">
        <x:v>136</x:v>
      </x:c>
      <x:c r="E35" s="18" t="s">
        <x:v>24</x:v>
      </x:c>
      <x:c r="F35" t="s">
        <x:v>13</x:v>
      </x:c>
      <x:c r="G35" t="s">
        <x:v>146</x:v>
      </x:c>
      <x:c r="H35" t="s">
        <x:v>48</x:v>
      </x:c>
      <x:c r="I35" t="s">
        <x:v>147</x:v>
      </x:c>
      <x:c r="J35" t="s">
        <x:v>148</x:v>
      </x:c>
      <x:c r="K35" s="18" t="s">
        <x:v>78</x:v>
      </x:c>
      <x:c r="L35" s="15"/>
    </x:row>
    <x:row r="36" ht="13.5" customHeight="1">
      <x:c r="A36" s="18">
        <x:v>33</x:v>
      </x:c>
      <x:c r="B36" s="19">
        <x:v>46247</x:v>
      </x:c>
      <x:c r="C36" s="18" t="str">
        <x:f t="shared" ref="C36:C67" si="1">TEXT(B36,"ddd")</x:f>
        <x:v>Thu</x:v>
      </x:c>
      <x:c r="D36" s="18" t="s">
        <x:v>136</x:v>
      </x:c>
      <x:c r="E36" s="18" t="s">
        <x:v>24</x:v>
      </x:c>
      <x:c r="F36" t="s">
        <x:v>19</x:v>
      </x:c>
      <x:c r="G36" t="s">
        <x:v>149</x:v>
      </x:c>
      <x:c r="H36" t="s">
        <x:v>48</x:v>
      </x:c>
      <x:c r="I36" t="s">
        <x:v>150</x:v>
      </x:c>
      <x:c r="J36" t="s">
        <x:v>151</x:v>
      </x:c>
      <x:c r="K36" s="18" t="s">
        <x:v>78</x:v>
      </x:c>
      <x:c r="L36" s="15"/>
    </x:row>
    <x:row r="37" ht="13.5" customHeight="1">
      <x:c r="A37" s="18">
        <x:v>34</x:v>
      </x:c>
      <x:c r="B37" s="19">
        <x:v>46248</x:v>
      </x:c>
      <x:c r="C37" s="18" t="str">
        <x:f t="shared" si="1"/>
        <x:v>Fri</x:v>
      </x:c>
      <x:c r="D37" s="18" t="s">
        <x:v>136</x:v>
      </x:c>
      <x:c r="E37" s="18" t="s">
        <x:v>24</x:v>
      </x:c>
      <x:c r="F37" t="s">
        <x:v>19</x:v>
      </x:c>
      <x:c r="G37" t="s">
        <x:v>152</x:v>
      </x:c>
      <x:c r="H37" t="s">
        <x:v>48</x:v>
      </x:c>
      <x:c r="I37" t="s">
        <x:v>153</x:v>
      </x:c>
      <x:c r="J37" t="s">
        <x:v>154</x:v>
      </x:c>
      <x:c r="K37" s="18" t="s">
        <x:v>78</x:v>
      </x:c>
      <x:c r="L37" s="15"/>
    </x:row>
    <x:row r="38" ht="13.5" customHeight="1">
      <x:c r="A38" s="18">
        <x:v>35</x:v>
      </x:c>
      <x:c r="B38" s="19">
        <x:v>46249</x:v>
      </x:c>
      <x:c r="C38" s="18" t="str">
        <x:f t="shared" si="1"/>
        <x:v>Sat</x:v>
      </x:c>
      <x:c r="D38" s="18" t="s">
        <x:v>136</x:v>
      </x:c>
      <x:c r="E38" s="18" t="s">
        <x:v>24</x:v>
      </x:c>
      <x:c r="F38" t="s">
        <x:v>19</x:v>
      </x:c>
      <x:c r="G38" t="s">
        <x:v>155</x:v>
      </x:c>
      <x:c r="H38" t="s">
        <x:v>75</x:v>
      </x:c>
      <x:c r="I38" t="s">
        <x:v>156</x:v>
      </x:c>
      <x:c r="J38" t="s">
        <x:v>157</x:v>
      </x:c>
      <x:c r="K38" s="18" t="s">
        <x:v>78</x:v>
      </x:c>
      <x:c r="L38" s="15"/>
    </x:row>
    <x:row r="39" ht="13.5" customHeight="1">
      <x:c r="A39" s="18">
        <x:v>36</x:v>
      </x:c>
      <x:c r="B39" s="19">
        <x:v>46250</x:v>
      </x:c>
      <x:c r="C39" s="18" t="str">
        <x:f t="shared" si="1"/>
        <x:v>Sun</x:v>
      </x:c>
      <x:c r="D39" s="18" t="s">
        <x:v>158</x:v>
      </x:c>
      <x:c r="E39" s="18" t="s">
        <x:v>24</x:v>
      </x:c>
      <x:c r="F39" t="s">
        <x:v>19</x:v>
      </x:c>
      <x:c r="G39" t="s">
        <x:v>159</x:v>
      </x:c>
      <x:c r="H39" t="s">
        <x:v>48</x:v>
      </x:c>
      <x:c r="I39" t="s">
        <x:v>160</x:v>
      </x:c>
      <x:c r="J39" t="s">
        <x:v>161</x:v>
      </x:c>
      <x:c r="K39" s="18" t="s">
        <x:v>78</x:v>
      </x:c>
      <x:c r="L39" s="15"/>
    </x:row>
    <x:row r="40" ht="13.5" customHeight="1">
      <x:c r="A40" s="18">
        <x:v>37</x:v>
      </x:c>
      <x:c r="B40" s="19">
        <x:v>46251</x:v>
      </x:c>
      <x:c r="C40" s="18" t="str">
        <x:f t="shared" si="1"/>
        <x:v>Mon</x:v>
      </x:c>
      <x:c r="D40" s="18" t="s">
        <x:v>158</x:v>
      </x:c>
      <x:c r="E40" s="18" t="s">
        <x:v>24</x:v>
      </x:c>
      <x:c r="G40" t="s">
        <x:v>162</x:v>
      </x:c>
      <x:c r="H40" t="s">
        <x:v>48</x:v>
      </x:c>
      <x:c r="I40" t="s">
        <x:v>163</x:v>
      </x:c>
      <x:c r="J40" t="s">
        <x:v>164</x:v>
      </x:c>
      <x:c r="K40" s="18" t="s">
        <x:v>78</x:v>
      </x:c>
      <x:c r="L40" s="15"/>
    </x:row>
    <x:row r="41" ht="13.5" customHeight="1">
      <x:c r="A41" s="18">
        <x:v>38</x:v>
      </x:c>
      <x:c r="B41" s="19">
        <x:v>46252</x:v>
      </x:c>
      <x:c r="C41" s="18" t="str">
        <x:f t="shared" si="1"/>
        <x:v>Tue</x:v>
      </x:c>
      <x:c r="D41" s="18" t="s">
        <x:v>158</x:v>
      </x:c>
      <x:c r="E41" s="18" t="s">
        <x:v>24</x:v>
      </x:c>
      <x:c r="F41" t="s">
        <x:v>16</x:v>
      </x:c>
      <x:c r="G41" t="s">
        <x:v>165</x:v>
      </x:c>
      <x:c r="H41" t="s">
        <x:v>48</x:v>
      </x:c>
      <x:c r="I41" t="s">
        <x:v>166</x:v>
      </x:c>
      <x:c r="J41" t="s">
        <x:v>167</x:v>
      </x:c>
      <x:c r="K41" s="18" t="s">
        <x:v>78</x:v>
      </x:c>
      <x:c r="L41" s="15" t="s">
        <x:v>168</x:v>
      </x:c>
    </x:row>
    <x:row r="42" ht="13.5" customHeight="1">
      <x:c r="A42" s="18">
        <x:v>39</x:v>
      </x:c>
      <x:c r="B42" s="19">
        <x:v>46253</x:v>
      </x:c>
      <x:c r="C42" s="18" t="str">
        <x:f t="shared" si="1"/>
        <x:v>Wed</x:v>
      </x:c>
      <x:c r="D42" s="18" t="s">
        <x:v>158</x:v>
      </x:c>
      <x:c r="E42" s="18" t="s">
        <x:v>24</x:v>
      </x:c>
      <x:c r="F42" t="s">
        <x:v>16</x:v>
      </x:c>
      <x:c r="G42" t="s">
        <x:v>169</x:v>
      </x:c>
      <x:c r="H42" t="s">
        <x:v>48</x:v>
      </x:c>
      <x:c r="I42" t="s">
        <x:v>170</x:v>
      </x:c>
      <x:c r="J42" t="s">
        <x:v>171</x:v>
      </x:c>
      <x:c r="K42" s="18" t="s">
        <x:v>78</x:v>
      </x:c>
      <x:c r="L42" s="15"/>
    </x:row>
    <x:row r="43" ht="13.5" customHeight="1">
      <x:c r="A43" s="18">
        <x:v>40</x:v>
      </x:c>
      <x:c r="B43" s="19">
        <x:v>46254</x:v>
      </x:c>
      <x:c r="C43" s="18" t="str">
        <x:f t="shared" si="1"/>
        <x:v>Thu</x:v>
      </x:c>
      <x:c r="D43" s="18" t="s">
        <x:v>158</x:v>
      </x:c>
      <x:c r="E43" s="18" t="s">
        <x:v>24</x:v>
      </x:c>
      <x:c r="F43" t="s">
        <x:v>16</x:v>
      </x:c>
      <x:c r="G43" t="s">
        <x:v>172</x:v>
      </x:c>
      <x:c r="H43" t="s">
        <x:v>48</x:v>
      </x:c>
      <x:c r="I43" t="s">
        <x:v>173</x:v>
      </x:c>
      <x:c r="J43" t="s">
        <x:v>174</x:v>
      </x:c>
      <x:c r="K43" s="18" t="s">
        <x:v>78</x:v>
      </x:c>
      <x:c r="L43" s="15"/>
    </x:row>
    <x:row r="44" ht="13.5" customHeight="1">
      <x:c r="A44" s="18">
        <x:v>41</x:v>
      </x:c>
      <x:c r="B44" s="19">
        <x:v>46255</x:v>
      </x:c>
      <x:c r="C44" s="18" t="str">
        <x:f t="shared" si="1"/>
        <x:v>Fri</x:v>
      </x:c>
      <x:c r="D44" s="18" t="s">
        <x:v>158</x:v>
      </x:c>
      <x:c r="E44" s="18" t="s">
        <x:v>24</x:v>
      </x:c>
      <x:c r="F44" t="s">
        <x:v>6</x:v>
      </x:c>
      <x:c r="G44" t="s">
        <x:v>175</x:v>
      </x:c>
      <x:c r="H44" t="s">
        <x:v>48</x:v>
      </x:c>
      <x:c r="I44" t="s">
        <x:v>176</x:v>
      </x:c>
      <x:c r="J44" t="s">
        <x:v>177</x:v>
      </x:c>
      <x:c r="K44" s="18" t="s">
        <x:v>78</x:v>
      </x:c>
      <x:c r="L44" s="15"/>
    </x:row>
    <x:row r="45" ht="13.5" customHeight="1">
      <x:c r="A45" s="18">
        <x:v>42</x:v>
      </x:c>
      <x:c r="B45" s="19">
        <x:v>46256</x:v>
      </x:c>
      <x:c r="C45" s="18" t="str">
        <x:f t="shared" si="1"/>
        <x:v>Sat</x:v>
      </x:c>
      <x:c r="D45" s="18" t="s">
        <x:v>158</x:v>
      </x:c>
      <x:c r="E45" s="18" t="s">
        <x:v>24</x:v>
      </x:c>
      <x:c r="F45" t="s">
        <x:v>11</x:v>
      </x:c>
      <x:c r="G45" t="s">
        <x:v>178</x:v>
      </x:c>
      <x:c r="H45" t="s">
        <x:v>48</x:v>
      </x:c>
      <x:c r="I45" t="s">
        <x:v>179</x:v>
      </x:c>
      <x:c r="J45" t="s">
        <x:v>180</x:v>
      </x:c>
      <x:c r="K45" s="18" t="s">
        <x:v>78</x:v>
      </x:c>
      <x:c r="L45" s="15"/>
    </x:row>
    <x:row r="46" ht="13.5" customHeight="1">
      <x:c r="A46" s="18">
        <x:v>43</x:v>
      </x:c>
      <x:c r="B46" s="19">
        <x:v>46257</x:v>
      </x:c>
      <x:c r="C46" s="18" t="str">
        <x:f t="shared" si="1"/>
        <x:v>Sun</x:v>
      </x:c>
      <x:c r="D46" s="18" t="s">
        <x:v>181</x:v>
      </x:c>
      <x:c r="E46" s="18" t="s">
        <x:v>24</x:v>
      </x:c>
      <x:c r="F46" t="s">
        <x:v>11</x:v>
      </x:c>
      <x:c r="G46" t="s">
        <x:v>182</x:v>
      </x:c>
      <x:c r="H46" t="s">
        <x:v>48</x:v>
      </x:c>
      <x:c r="I46" t="s">
        <x:v>183</x:v>
      </x:c>
      <x:c r="J46" t="s">
        <x:v>184</x:v>
      </x:c>
      <x:c r="K46" s="18" t="s">
        <x:v>78</x:v>
      </x:c>
      <x:c r="L46" s="15"/>
    </x:row>
    <x:row r="47" ht="13.5" customHeight="1">
      <x:c r="A47" s="18">
        <x:v>44</x:v>
      </x:c>
      <x:c r="B47" s="19">
        <x:v>46258</x:v>
      </x:c>
      <x:c r="C47" s="18" t="str">
        <x:f t="shared" si="1"/>
        <x:v>Mon</x:v>
      </x:c>
      <x:c r="D47" s="18" t="s">
        <x:v>181</x:v>
      </x:c>
      <x:c r="E47" s="18" t="s">
        <x:v>24</x:v>
      </x:c>
      <x:c r="F47" t="s">
        <x:v>11</x:v>
      </x:c>
      <x:c r="G47" t="s">
        <x:v>185</x:v>
      </x:c>
      <x:c r="H47" t="s">
        <x:v>48</x:v>
      </x:c>
      <x:c r="I47" t="s">
        <x:v>186</x:v>
      </x:c>
      <x:c r="J47" t="s">
        <x:v>187</x:v>
      </x:c>
      <x:c r="K47" s="18" t="s">
        <x:v>78</x:v>
      </x:c>
      <x:c r="L47" s="15"/>
    </x:row>
    <x:row r="48" ht="13.5" customHeight="1">
      <x:c r="A48" s="18">
        <x:v>45</x:v>
      </x:c>
      <x:c r="B48" s="19">
        <x:v>46259</x:v>
      </x:c>
      <x:c r="C48" s="18" t="str">
        <x:f t="shared" si="1"/>
        <x:v>Tue</x:v>
      </x:c>
      <x:c r="D48" s="18" t="s">
        <x:v>181</x:v>
      </x:c>
      <x:c r="E48" s="18" t="s">
        <x:v>24</x:v>
      </x:c>
      <x:c r="F48" t="s">
        <x:v>9</x:v>
      </x:c>
      <x:c r="G48" t="s">
        <x:v>188</x:v>
      </x:c>
      <x:c r="H48" t="s">
        <x:v>48</x:v>
      </x:c>
      <x:c r="I48" t="s">
        <x:v>189</x:v>
      </x:c>
      <x:c r="J48" t="s">
        <x:v>190</x:v>
      </x:c>
      <x:c r="K48" s="18" t="s">
        <x:v>78</x:v>
      </x:c>
      <x:c r="L48" s="15"/>
    </x:row>
    <x:row r="49" ht="13.5" customHeight="1">
      <x:c r="A49" s="18">
        <x:v>46</x:v>
      </x:c>
      <x:c r="B49" s="19">
        <x:v>46260</x:v>
      </x:c>
      <x:c r="C49" s="18" t="str">
        <x:f t="shared" si="1"/>
        <x:v>Wed</x:v>
      </x:c>
      <x:c r="D49" s="18" t="s">
        <x:v>181</x:v>
      </x:c>
      <x:c r="E49" s="18" t="s">
        <x:v>24</x:v>
      </x:c>
      <x:c r="F49" t="s">
        <x:v>9</x:v>
      </x:c>
      <x:c r="G49" t="s">
        <x:v>191</x:v>
      </x:c>
      <x:c r="H49" t="s">
        <x:v>48</x:v>
      </x:c>
      <x:c r="I49" t="s">
        <x:v>192</x:v>
      </x:c>
      <x:c r="J49" t="s">
        <x:v>193</x:v>
      </x:c>
      <x:c r="K49" s="18" t="s">
        <x:v>78</x:v>
      </x:c>
      <x:c r="L49" s="15"/>
    </x:row>
    <x:row r="50" ht="13.5" customHeight="1">
      <x:c r="A50" s="18">
        <x:v>47</x:v>
      </x:c>
      <x:c r="B50" s="19">
        <x:v>46261</x:v>
      </x:c>
      <x:c r="C50" s="18" t="str">
        <x:f t="shared" si="1"/>
        <x:v>Thu</x:v>
      </x:c>
      <x:c r="D50" s="18" t="s">
        <x:v>181</x:v>
      </x:c>
      <x:c r="E50" s="18" t="s">
        <x:v>24</x:v>
      </x:c>
      <x:c r="F50" t="s">
        <x:v>9</x:v>
      </x:c>
      <x:c r="G50" t="s">
        <x:v>194</x:v>
      </x:c>
      <x:c r="H50" t="s">
        <x:v>48</x:v>
      </x:c>
      <x:c r="I50" t="s">
        <x:v>195</x:v>
      </x:c>
      <x:c r="J50" t="s">
        <x:v>196</x:v>
      </x:c>
      <x:c r="K50" s="18" t="s">
        <x:v>78</x:v>
      </x:c>
      <x:c r="L50" s="15" t="s">
        <x:v>197</x:v>
      </x:c>
    </x:row>
    <x:row r="51" ht="13.5" customHeight="1">
      <x:c r="A51" s="18">
        <x:v>48</x:v>
      </x:c>
      <x:c r="B51" s="19">
        <x:v>46262</x:v>
      </x:c>
      <x:c r="C51" s="18" t="str">
        <x:f t="shared" si="1"/>
        <x:v>Fri</x:v>
      </x:c>
      <x:c r="D51" s="18" t="s">
        <x:v>181</x:v>
      </x:c>
      <x:c r="E51" s="18" t="s">
        <x:v>24</x:v>
      </x:c>
      <x:c r="F51" t="s">
        <x:v>9</x:v>
      </x:c>
      <x:c r="G51" t="s">
        <x:v>198</x:v>
      </x:c>
      <x:c r="H51" t="s">
        <x:v>48</x:v>
      </x:c>
      <x:c r="I51" t="s">
        <x:v>199</x:v>
      </x:c>
      <x:c r="J51" t="s">
        <x:v>200</x:v>
      </x:c>
      <x:c r="K51" s="18" t="s">
        <x:v>78</x:v>
      </x:c>
      <x:c r="L51" s="15"/>
    </x:row>
    <x:row r="52" ht="13.5" customHeight="1">
      <x:c r="A52" s="18">
        <x:v>49</x:v>
      </x:c>
      <x:c r="B52" s="19">
        <x:v>46263</x:v>
      </x:c>
      <x:c r="C52" s="18" t="str">
        <x:f t="shared" si="1"/>
        <x:v>Sat</x:v>
      </x:c>
      <x:c r="D52" s="18" t="s">
        <x:v>181</x:v>
      </x:c>
      <x:c r="E52" s="18" t="s">
        <x:v>24</x:v>
      </x:c>
      <x:c r="F52" t="s">
        <x:v>13</x:v>
      </x:c>
      <x:c r="G52" t="s">
        <x:v>201</x:v>
      </x:c>
      <x:c r="H52" t="s">
        <x:v>48</x:v>
      </x:c>
      <x:c r="I52" t="s">
        <x:v>202</x:v>
      </x:c>
      <x:c r="J52" t="s">
        <x:v>203</x:v>
      </x:c>
      <x:c r="K52" s="18" t="s">
        <x:v>78</x:v>
      </x:c>
      <x:c r="L52" s="15"/>
    </x:row>
    <x:row r="53" ht="13.5" customHeight="1">
      <x:c r="A53" s="18">
        <x:v>50</x:v>
      </x:c>
      <x:c r="B53" s="19">
        <x:v>46264</x:v>
      </x:c>
      <x:c r="C53" s="18" t="str">
        <x:f t="shared" si="1"/>
        <x:v>Sun</x:v>
      </x:c>
      <x:c r="D53" s="18" t="s">
        <x:v>204</x:v>
      </x:c>
      <x:c r="E53" s="18" t="s">
        <x:v>24</x:v>
      </x:c>
      <x:c r="F53" t="s">
        <x:v>13</x:v>
      </x:c>
      <x:c r="G53" t="s">
        <x:v>205</x:v>
      </x:c>
      <x:c r="H53" t="s">
        <x:v>75</x:v>
      </x:c>
      <x:c r="I53" t="s">
        <x:v>206</x:v>
      </x:c>
      <x:c r="J53" t="s">
        <x:v>207</x:v>
      </x:c>
      <x:c r="K53" s="18" t="s">
        <x:v>78</x:v>
      </x:c>
      <x:c r="L53" s="15"/>
    </x:row>
    <x:row r="54" ht="13.5" customHeight="1">
      <x:c r="A54" s="18">
        <x:v>51</x:v>
      </x:c>
      <x:c r="B54" s="19">
        <x:v>46265</x:v>
      </x:c>
      <x:c r="C54" s="18" t="str">
        <x:f t="shared" si="1"/>
        <x:v>Mon</x:v>
      </x:c>
      <x:c r="D54" s="18" t="s">
        <x:v>204</x:v>
      </x:c>
      <x:c r="E54" s="18" t="s">
        <x:v>24</x:v>
      </x:c>
      <x:c r="F54" t="s">
        <x:v>13</x:v>
      </x:c>
      <x:c r="G54" t="s">
        <x:v>208</x:v>
      </x:c>
      <x:c r="H54" t="s">
        <x:v>48</x:v>
      </x:c>
      <x:c r="I54" t="s">
        <x:v>209</x:v>
      </x:c>
      <x:c r="J54" t="s">
        <x:v>210</x:v>
      </x:c>
      <x:c r="K54" s="18" t="s">
        <x:v>78</x:v>
      </x:c>
      <x:c r="L54" s="15"/>
    </x:row>
    <x:row r="55" ht="13.5" customHeight="1">
      <x:c r="A55" s="18">
        <x:v>52</x:v>
      </x:c>
      <x:c r="B55" s="19">
        <x:v>46266</x:v>
      </x:c>
      <x:c r="C55" s="18" t="str">
        <x:f t="shared" si="1"/>
        <x:v>Tue</x:v>
      </x:c>
      <x:c r="D55" s="18" t="s">
        <x:v>204</x:v>
      </x:c>
      <x:c r="E55" s="18" t="s">
        <x:v>24</x:v>
      </x:c>
      <x:c r="F55" t="s">
        <x:v>13</x:v>
      </x:c>
      <x:c r="G55" t="s">
        <x:v>211</x:v>
      </x:c>
      <x:c r="H55" t="s">
        <x:v>48</x:v>
      </x:c>
      <x:c r="I55" t="s">
        <x:v>212</x:v>
      </x:c>
      <x:c r="J55" t="s">
        <x:v>213</x:v>
      </x:c>
      <x:c r="K55" s="18" t="s">
        <x:v>78</x:v>
      </x:c>
      <x:c r="L55" s="15"/>
    </x:row>
    <x:row r="56" ht="13.5" customHeight="1">
      <x:c r="A56" s="18">
        <x:v>53</x:v>
      </x:c>
      <x:c r="B56" s="19">
        <x:v>46267</x:v>
      </x:c>
      <x:c r="C56" s="18" t="str">
        <x:f t="shared" si="1"/>
        <x:v>Wed</x:v>
      </x:c>
      <x:c r="D56" s="18" t="s">
        <x:v>204</x:v>
      </x:c>
      <x:c r="E56" s="18" t="s">
        <x:v>24</x:v>
      </x:c>
      <x:c r="F56" t="s">
        <x:v>19</x:v>
      </x:c>
      <x:c r="G56" t="s">
        <x:v>214</x:v>
      </x:c>
      <x:c r="H56" t="s">
        <x:v>48</x:v>
      </x:c>
      <x:c r="I56" t="s">
        <x:v>215</x:v>
      </x:c>
      <x:c r="J56" t="s">
        <x:v>216</x:v>
      </x:c>
      <x:c r="K56" s="18" t="s">
        <x:v>78</x:v>
      </x:c>
      <x:c r="L56" s="15"/>
    </x:row>
    <x:row r="57" ht="13.5" customHeight="1">
      <x:c r="A57" s="18">
        <x:v>54</x:v>
      </x:c>
      <x:c r="B57" s="19">
        <x:v>46268</x:v>
      </x:c>
      <x:c r="C57" s="18" t="str">
        <x:f t="shared" si="1"/>
        <x:v>Thu</x:v>
      </x:c>
      <x:c r="D57" s="18" t="s">
        <x:v>204</x:v>
      </x:c>
      <x:c r="E57" s="18" t="s">
        <x:v>24</x:v>
      </x:c>
      <x:c r="F57" t="s">
        <x:v>19</x:v>
      </x:c>
      <x:c r="G57" t="s">
        <x:v>217</x:v>
      </x:c>
      <x:c r="H57" t="s">
        <x:v>48</x:v>
      </x:c>
      <x:c r="I57" t="s">
        <x:v>218</x:v>
      </x:c>
      <x:c r="J57" t="s">
        <x:v>219</x:v>
      </x:c>
      <x:c r="K57" s="18" t="s">
        <x:v>78</x:v>
      </x:c>
      <x:c r="L57" s="15"/>
    </x:row>
    <x:row r="58" ht="13.5" customHeight="1">
      <x:c r="A58" s="18">
        <x:v>55</x:v>
      </x:c>
      <x:c r="B58" s="19">
        <x:v>46269</x:v>
      </x:c>
      <x:c r="C58" s="18" t="str">
        <x:f t="shared" si="1"/>
        <x:v>Fri</x:v>
      </x:c>
      <x:c r="D58" s="18" t="s">
        <x:v>204</x:v>
      </x:c>
      <x:c r="E58" s="18" t="s">
        <x:v>24</x:v>
      </x:c>
      <x:c r="F58" t="s">
        <x:v>9</x:v>
      </x:c>
      <x:c r="G58" t="s">
        <x:v>220</x:v>
      </x:c>
      <x:c r="H58" t="s">
        <x:v>48</x:v>
      </x:c>
      <x:c r="I58" t="s">
        <x:v>221</x:v>
      </x:c>
      <x:c r="J58" t="s">
        <x:v>222</x:v>
      </x:c>
      <x:c r="K58" s="18" t="s">
        <x:v>78</x:v>
      </x:c>
      <x:c r="L58" s="15"/>
    </x:row>
    <x:row r="59" ht="13.5" customHeight="1">
      <x:c r="A59" s="18">
        <x:v>56</x:v>
      </x:c>
      <x:c r="B59" s="19">
        <x:v>46270</x:v>
      </x:c>
      <x:c r="C59" s="18" t="str">
        <x:f t="shared" si="1"/>
        <x:v>Sat</x:v>
      </x:c>
      <x:c r="D59" s="18" t="s">
        <x:v>204</x:v>
      </x:c>
      <x:c r="E59" s="18" t="s">
        <x:v>24</x:v>
      </x:c>
      <x:c r="F59" t="s">
        <x:v>9</x:v>
      </x:c>
      <x:c r="G59" t="s">
        <x:v>223</x:v>
      </x:c>
      <x:c r="H59" t="s">
        <x:v>48</x:v>
      </x:c>
      <x:c r="I59" t="s">
        <x:v>224</x:v>
      </x:c>
      <x:c r="J59" t="s">
        <x:v>225</x:v>
      </x:c>
      <x:c r="K59" s="18" t="s">
        <x:v>78</x:v>
      </x:c>
      <x:c r="L59" s="15"/>
    </x:row>
    <x:row r="60" ht="13.5" customHeight="1">
      <x:c r="A60" s="18">
        <x:v>57</x:v>
      </x:c>
      <x:c r="B60" s="19">
        <x:v>46271</x:v>
      </x:c>
      <x:c r="C60" s="18" t="str">
        <x:f t="shared" si="1"/>
        <x:v>Sun</x:v>
      </x:c>
      <x:c r="D60" s="18" t="s">
        <x:v>226</x:v>
      </x:c>
      <x:c r="E60" s="18" t="s">
        <x:v>24</x:v>
      </x:c>
      <x:c r="F60" t="s">
        <x:v>9</x:v>
      </x:c>
      <x:c r="G60" t="s">
        <x:v>227</x:v>
      </x:c>
      <x:c r="H60" t="s">
        <x:v>75</x:v>
      </x:c>
      <x:c r="I60" t="s">
        <x:v>228</x:v>
      </x:c>
      <x:c r="J60" t="s">
        <x:v>229</x:v>
      </x:c>
      <x:c r="K60" s="18" t="s">
        <x:v>78</x:v>
      </x:c>
      <x:c r="L60" s="15"/>
    </x:row>
    <x:row r="61" ht="13.5" customHeight="1">
      <x:c r="A61" s="18">
        <x:v>58</x:v>
      </x:c>
      <x:c r="B61" s="19">
        <x:v>46272</x:v>
      </x:c>
      <x:c r="C61" s="18" t="str">
        <x:f t="shared" si="1"/>
        <x:v>Mon</x:v>
      </x:c>
      <x:c r="D61" s="18" t="s">
        <x:v>226</x:v>
      </x:c>
      <x:c r="E61" s="18" t="s">
        <x:v>24</x:v>
      </x:c>
      <x:c r="F61" t="s">
        <x:v>11</x:v>
      </x:c>
      <x:c r="G61" t="s">
        <x:v>230</x:v>
      </x:c>
      <x:c r="H61" t="s">
        <x:v>48</x:v>
      </x:c>
      <x:c r="I61" t="s">
        <x:v>231</x:v>
      </x:c>
      <x:c r="J61" t="s">
        <x:v>232</x:v>
      </x:c>
      <x:c r="K61" s="18" t="s">
        <x:v>78</x:v>
      </x:c>
      <x:c r="L61" s="15"/>
    </x:row>
    <x:row r="62" ht="13.5" customHeight="1">
      <x:c r="A62" s="18">
        <x:v>59</x:v>
      </x:c>
      <x:c r="B62" s="19">
        <x:v>46273</x:v>
      </x:c>
      <x:c r="C62" s="18" t="str">
        <x:f t="shared" si="1"/>
        <x:v>Tue</x:v>
      </x:c>
      <x:c r="D62" s="18" t="s">
        <x:v>226</x:v>
      </x:c>
      <x:c r="E62" s="18" t="s">
        <x:v>24</x:v>
      </x:c>
      <x:c r="F62" t="s">
        <x:v>11</x:v>
      </x:c>
      <x:c r="G62" t="s">
        <x:v>233</x:v>
      </x:c>
      <x:c r="H62" t="s">
        <x:v>75</x:v>
      </x:c>
      <x:c r="I62" t="s">
        <x:v>234</x:v>
      </x:c>
      <x:c r="J62" t="s">
        <x:v>235</x:v>
      </x:c>
      <x:c r="K62" s="18" t="s">
        <x:v>78</x:v>
      </x:c>
      <x:c r="L62" s="15"/>
    </x:row>
    <x:row r="63" ht="13.5" customHeight="1">
      <x:c r="A63" s="18">
        <x:v>60</x:v>
      </x:c>
      <x:c r="B63" s="19">
        <x:v>46274</x:v>
      </x:c>
      <x:c r="C63" s="18" t="str">
        <x:f t="shared" si="1"/>
        <x:v>Wed</x:v>
      </x:c>
      <x:c r="D63" s="18" t="s">
        <x:v>226</x:v>
      </x:c>
      <x:c r="E63" s="18" t="s">
        <x:v>25</x:v>
      </x:c>
      <x:c r="F63" t="s">
        <x:v>6</x:v>
      </x:c>
      <x:c r="G63" t="s">
        <x:v>6</x:v>
      </x:c>
      <x:c r="H63" t="s">
        <x:v>42</x:v>
      </x:c>
      <x:c r="I63" t="s">
        <x:v>236</x:v>
      </x:c>
      <x:c r="J63" t="s">
        <x:v>237</x:v>
      </x:c>
      <x:c r="K63" s="18" t="s">
        <x:v>45</x:v>
      </x:c>
      <x:c r="L63" s="15" t="s">
        <x:v>113</x:v>
      </x:c>
    </x:row>
    <x:row r="64" ht="13.5" customHeight="1">
      <x:c r="A64" s="18">
        <x:v>61</x:v>
      </x:c>
      <x:c r="B64" s="19">
        <x:v>46275</x:v>
      </x:c>
      <x:c r="C64" s="18" t="str">
        <x:f t="shared" si="1"/>
        <x:v>Thu</x:v>
      </x:c>
      <x:c r="D64" s="18" t="s">
        <x:v>226</x:v>
      </x:c>
      <x:c r="E64" s="18" t="s">
        <x:v>25</x:v>
      </x:c>
      <x:c r="F64" t="s">
        <x:v>6</x:v>
      </x:c>
      <x:c r="G64" t="s">
        <x:v>238</x:v>
      </x:c>
      <x:c r="H64" t="s">
        <x:v>48</x:v>
      </x:c>
      <x:c r="I64" t="s">
        <x:v>239</x:v>
      </x:c>
      <x:c r="J64" t="s">
        <x:v>240</x:v>
      </x:c>
      <x:c r="K64" s="18" t="s">
        <x:v>78</x:v>
      </x:c>
      <x:c r="L64" s="15"/>
    </x:row>
    <x:row r="65" ht="13.5" customHeight="1">
      <x:c r="A65" s="18">
        <x:v>62</x:v>
      </x:c>
      <x:c r="B65" s="19">
        <x:v>46276</x:v>
      </x:c>
      <x:c r="C65" s="18" t="str">
        <x:f t="shared" si="1"/>
        <x:v>Fri</x:v>
      </x:c>
      <x:c r="D65" s="18" t="s">
        <x:v>226</x:v>
      </x:c>
      <x:c r="E65" s="18" t="s">
        <x:v>25</x:v>
      </x:c>
      <x:c r="F65" t="s">
        <x:v>6</x:v>
      </x:c>
      <x:c r="G65" t="s">
        <x:v>241</x:v>
      </x:c>
      <x:c r="H65" t="s">
        <x:v>48</x:v>
      </x:c>
      <x:c r="I65" t="s">
        <x:v>242</x:v>
      </x:c>
      <x:c r="J65" t="s">
        <x:v>243</x:v>
      </x:c>
      <x:c r="K65" s="18" t="s">
        <x:v>78</x:v>
      </x:c>
      <x:c r="L65" s="15"/>
    </x:row>
    <x:row r="66" ht="13.5" customHeight="1">
      <x:c r="A66" s="18">
        <x:v>63</x:v>
      </x:c>
      <x:c r="B66" s="19">
        <x:v>46277</x:v>
      </x:c>
      <x:c r="C66" s="18" t="str">
        <x:f t="shared" si="1"/>
        <x:v>Sat</x:v>
      </x:c>
      <x:c r="D66" s="18" t="s">
        <x:v>226</x:v>
      </x:c>
      <x:c r="E66" s="18" t="s">
        <x:v>25</x:v>
      </x:c>
      <x:c r="F66" t="s">
        <x:v>6</x:v>
      </x:c>
      <x:c r="G66" t="s">
        <x:v>244</x:v>
      </x:c>
      <x:c r="H66" t="s">
        <x:v>48</x:v>
      </x:c>
      <x:c r="I66" t="s">
        <x:v>245</x:v>
      </x:c>
      <x:c r="J66" t="s">
        <x:v>246</x:v>
      </x:c>
      <x:c r="K66" s="18" t="s">
        <x:v>78</x:v>
      </x:c>
      <x:c r="L66" s="15"/>
    </x:row>
    <x:row r="67" ht="13.5" customHeight="1">
      <x:c r="A67" s="18">
        <x:v>64</x:v>
      </x:c>
      <x:c r="B67" s="19">
        <x:v>46278</x:v>
      </x:c>
      <x:c r="C67" s="18" t="str">
        <x:f t="shared" si="1"/>
        <x:v>Sun</x:v>
      </x:c>
      <x:c r="D67" s="18" t="s">
        <x:v>247</x:v>
      </x:c>
      <x:c r="E67" s="18" t="s">
        <x:v>25</x:v>
      </x:c>
      <x:c r="F67" t="s">
        <x:v>6</x:v>
      </x:c>
      <x:c r="G67" t="s">
        <x:v>248</x:v>
      </x:c>
      <x:c r="H67" t="s">
        <x:v>48</x:v>
      </x:c>
      <x:c r="I67" t="s">
        <x:v>249</x:v>
      </x:c>
      <x:c r="J67" t="s">
        <x:v>250</x:v>
      </x:c>
      <x:c r="K67" s="18" t="s">
        <x:v>78</x:v>
      </x:c>
      <x:c r="L67" s="15"/>
    </x:row>
    <x:row r="68" ht="13.5" customHeight="1">
      <x:c r="A68" s="18">
        <x:v>65</x:v>
      </x:c>
      <x:c r="B68" s="19">
        <x:v>46279</x:v>
      </x:c>
      <x:c r="C68" s="18" t="str">
        <x:f t="shared" ref="C68:C82" si="2">TEXT(B68,"ddd")</x:f>
        <x:v>Mon</x:v>
      </x:c>
      <x:c r="D68" s="18" t="s">
        <x:v>247</x:v>
      </x:c>
      <x:c r="E68" s="18" t="s">
        <x:v>25</x:v>
      </x:c>
      <x:c r="F68" t="s">
        <x:v>6</x:v>
      </x:c>
      <x:c r="G68" t="s">
        <x:v>251</x:v>
      </x:c>
      <x:c r="H68" t="s">
        <x:v>48</x:v>
      </x:c>
      <x:c r="I68" t="s">
        <x:v>252</x:v>
      </x:c>
      <x:c r="J68" t="s">
        <x:v>253</x:v>
      </x:c>
      <x:c r="K68" s="18" t="s">
        <x:v>78</x:v>
      </x:c>
      <x:c r="L68" s="15"/>
    </x:row>
    <x:row r="69" ht="13.5" customHeight="1">
      <x:c r="A69" s="18">
        <x:v>66</x:v>
      </x:c>
      <x:c r="B69" s="19">
        <x:v>46280</x:v>
      </x:c>
      <x:c r="C69" s="18" t="str">
        <x:f t="shared" si="2"/>
        <x:v>Tue</x:v>
      </x:c>
      <x:c r="D69" s="18" t="s">
        <x:v>247</x:v>
      </x:c>
      <x:c r="E69" s="18" t="s">
        <x:v>25</x:v>
      </x:c>
      <x:c r="F69" t="s">
        <x:v>6</x:v>
      </x:c>
      <x:c r="G69" t="s">
        <x:v>254</x:v>
      </x:c>
      <x:c r="H69" t="s">
        <x:v>48</x:v>
      </x:c>
      <x:c r="I69" t="s">
        <x:v>255</x:v>
      </x:c>
      <x:c r="J69" t="s">
        <x:v>256</x:v>
      </x:c>
      <x:c r="K69" s="18" t="s">
        <x:v>78</x:v>
      </x:c>
      <x:c r="L69" s="15"/>
    </x:row>
    <x:row r="70" ht="13.5" customHeight="1">
      <x:c r="A70" s="18">
        <x:v>67</x:v>
      </x:c>
      <x:c r="B70" s="19">
        <x:v>46281</x:v>
      </x:c>
      <x:c r="C70" s="18" t="str">
        <x:f t="shared" si="2"/>
        <x:v>Wed</x:v>
      </x:c>
      <x:c r="D70" s="18" t="s">
        <x:v>247</x:v>
      </x:c>
      <x:c r="E70" s="18" t="s">
        <x:v>25</x:v>
      </x:c>
      <x:c r="F70" t="s">
        <x:v>6</x:v>
      </x:c>
      <x:c r="G70" t="s">
        <x:v>257</x:v>
      </x:c>
      <x:c r="H70" t="s">
        <x:v>48</x:v>
      </x:c>
      <x:c r="I70" t="s">
        <x:v>258</x:v>
      </x:c>
      <x:c r="J70" t="s">
        <x:v>259</x:v>
      </x:c>
      <x:c r="K70" s="18" t="s">
        <x:v>78</x:v>
      </x:c>
      <x:c r="L70" s="15"/>
    </x:row>
    <x:row r="71" ht="13.5" customHeight="1">
      <x:c r="A71" s="18">
        <x:v>68</x:v>
      </x:c>
      <x:c r="B71" s="19">
        <x:v>46282</x:v>
      </x:c>
      <x:c r="C71" s="18" t="str">
        <x:f t="shared" si="2"/>
        <x:v>Thu</x:v>
      </x:c>
      <x:c r="D71" s="18" t="s">
        <x:v>247</x:v>
      </x:c>
      <x:c r="E71" s="18" t="s">
        <x:v>25</x:v>
      </x:c>
      <x:c r="F71" t="s">
        <x:v>6</x:v>
      </x:c>
      <x:c r="G71" t="s">
        <x:v>260</x:v>
      </x:c>
      <x:c r="H71" t="s">
        <x:v>48</x:v>
      </x:c>
      <x:c r="I71" t="s">
        <x:v>261</x:v>
      </x:c>
      <x:c r="J71" t="s">
        <x:v>262</x:v>
      </x:c>
      <x:c r="K71" s="18" t="s">
        <x:v>78</x:v>
      </x:c>
      <x:c r="L71" s="15"/>
    </x:row>
    <x:row r="72" ht="13.5" customHeight="1">
      <x:c r="A72" s="18">
        <x:v>69</x:v>
      </x:c>
      <x:c r="B72" s="19">
        <x:v>46283</x:v>
      </x:c>
      <x:c r="C72" s="18" t="str">
        <x:f t="shared" si="2"/>
        <x:v>Fri</x:v>
      </x:c>
      <x:c r="D72" s="18" t="s">
        <x:v>247</x:v>
      </x:c>
      <x:c r="E72" s="18" t="s">
        <x:v>25</x:v>
      </x:c>
      <x:c r="F72" t="s">
        <x:v>6</x:v>
      </x:c>
      <x:c r="G72" t="s">
        <x:v>263</x:v>
      </x:c>
      <x:c r="H72" t="s">
        <x:v>48</x:v>
      </x:c>
      <x:c r="I72" t="s">
        <x:v>264</x:v>
      </x:c>
      <x:c r="J72" t="s">
        <x:v>265</x:v>
      </x:c>
      <x:c r="K72" s="18" t="s">
        <x:v>78</x:v>
      </x:c>
      <x:c r="L72" s="15"/>
    </x:row>
    <x:row r="73" ht="13.5" customHeight="1">
      <x:c r="A73" s="18">
        <x:v>70</x:v>
      </x:c>
      <x:c r="B73" s="19">
        <x:v>46284</x:v>
      </x:c>
      <x:c r="C73" s="18" t="str">
        <x:f t="shared" si="2"/>
        <x:v>Sat</x:v>
      </x:c>
      <x:c r="D73" s="18" t="s">
        <x:v>247</x:v>
      </x:c>
      <x:c r="E73" s="18" t="s">
        <x:v>25</x:v>
      </x:c>
      <x:c r="F73" t="s">
        <x:v>6</x:v>
      </x:c>
      <x:c r="G73" t="s">
        <x:v>266</x:v>
      </x:c>
      <x:c r="H73" t="s">
        <x:v>48</x:v>
      </x:c>
      <x:c r="I73" t="s">
        <x:v>267</x:v>
      </x:c>
      <x:c r="J73" t="s">
        <x:v>268</x:v>
      </x:c>
      <x:c r="K73" s="18" t="s">
        <x:v>78</x:v>
      </x:c>
      <x:c r="L73" s="15"/>
    </x:row>
    <x:row r="74" ht="13.5" customHeight="1">
      <x:c r="A74" s="18">
        <x:v>71</x:v>
      </x:c>
      <x:c r="B74" s="19">
        <x:v>46285</x:v>
      </x:c>
      <x:c r="C74" s="18" t="str">
        <x:f t="shared" si="2"/>
        <x:v>Sun</x:v>
      </x:c>
      <x:c r="D74" s="18" t="s">
        <x:v>269</x:v>
      </x:c>
      <x:c r="E74" s="18" t="s">
        <x:v>25</x:v>
      </x:c>
      <x:c r="F74" t="s">
        <x:v>6</x:v>
      </x:c>
      <x:c r="G74" t="s">
        <x:v>270</x:v>
      </x:c>
      <x:c r="H74" t="s">
        <x:v>48</x:v>
      </x:c>
      <x:c r="I74" t="s">
        <x:v>271</x:v>
      </x:c>
      <x:c r="J74" t="s">
        <x:v>272</x:v>
      </x:c>
      <x:c r="K74" s="18" t="s">
        <x:v>78</x:v>
      </x:c>
      <x:c r="L74" s="15"/>
    </x:row>
    <x:row r="75" ht="13.5" customHeight="1">
      <x:c r="A75" s="18">
        <x:v>72</x:v>
      </x:c>
      <x:c r="B75" s="19">
        <x:v>46286</x:v>
      </x:c>
      <x:c r="C75" s="18" t="str">
        <x:f t="shared" si="2"/>
        <x:v>Mon</x:v>
      </x:c>
      <x:c r="D75" s="18" t="s">
        <x:v>269</x:v>
      </x:c>
      <x:c r="E75" s="18" t="s">
        <x:v>25</x:v>
      </x:c>
      <x:c r="F75" t="s">
        <x:v>6</x:v>
      </x:c>
      <x:c r="G75" t="s">
        <x:v>273</x:v>
      </x:c>
      <x:c r="H75" t="s">
        <x:v>48</x:v>
      </x:c>
      <x:c r="I75" t="s">
        <x:v>274</x:v>
      </x:c>
      <x:c r="J75" t="s">
        <x:v>275</x:v>
      </x:c>
      <x:c r="K75" s="18" t="s">
        <x:v>78</x:v>
      </x:c>
      <x:c r="L75" s="15"/>
    </x:row>
    <x:row r="76" ht="13.5" customHeight="1">
      <x:c r="A76" s="18">
        <x:v>73</x:v>
      </x:c>
      <x:c r="B76" s="19">
        <x:v>46287</x:v>
      </x:c>
      <x:c r="C76" s="18" t="str">
        <x:f t="shared" si="2"/>
        <x:v>Tue</x:v>
      </x:c>
      <x:c r="D76" s="18" t="s">
        <x:v>269</x:v>
      </x:c>
      <x:c r="E76" s="18" t="s">
        <x:v>25</x:v>
      </x:c>
      <x:c r="F76" t="s">
        <x:v>6</x:v>
      </x:c>
      <x:c r="G76" t="s">
        <x:v>276</x:v>
      </x:c>
      <x:c r="H76" t="s">
        <x:v>48</x:v>
      </x:c>
      <x:c r="I76" t="s">
        <x:v>277</x:v>
      </x:c>
      <x:c r="J76" t="s">
        <x:v>278</x:v>
      </x:c>
      <x:c r="K76" s="18" t="s">
        <x:v>78</x:v>
      </x:c>
      <x:c r="L76" s="15"/>
    </x:row>
    <x:row r="77" ht="13.5" customHeight="1">
      <x:c r="A77" s="18">
        <x:v>74</x:v>
      </x:c>
      <x:c r="B77" s="19">
        <x:v>46288</x:v>
      </x:c>
      <x:c r="C77" s="18" t="str">
        <x:f t="shared" si="2"/>
        <x:v>Wed</x:v>
      </x:c>
      <x:c r="D77" s="18" t="s">
        <x:v>269</x:v>
      </x:c>
      <x:c r="E77" s="18" t="s">
        <x:v>25</x:v>
      </x:c>
      <x:c r="F77" t="s">
        <x:v>11</x:v>
      </x:c>
      <x:c r="G77" t="s">
        <x:v>279</x:v>
      </x:c>
      <x:c r="H77" t="s">
        <x:v>48</x:v>
      </x:c>
      <x:c r="I77" t="s">
        <x:v>280</x:v>
      </x:c>
      <x:c r="J77" t="s">
        <x:v>281</x:v>
      </x:c>
      <x:c r="K77" s="18" t="s">
        <x:v>78</x:v>
      </x:c>
      <x:c r="L77" s="15"/>
    </x:row>
    <x:row r="78" ht="13.5" customHeight="1">
      <x:c r="A78" s="18">
        <x:v>75</x:v>
      </x:c>
      <x:c r="B78" s="19">
        <x:v>46289</x:v>
      </x:c>
      <x:c r="C78" s="18" t="str">
        <x:f t="shared" si="2"/>
        <x:v>Thu</x:v>
      </x:c>
      <x:c r="D78" s="18" t="s">
        <x:v>269</x:v>
      </x:c>
      <x:c r="E78" s="18" t="s">
        <x:v>25</x:v>
      </x:c>
      <x:c r="F78" t="s">
        <x:v>9</x:v>
      </x:c>
      <x:c r="G78" t="s">
        <x:v>282</x:v>
      </x:c>
      <x:c r="H78" t="s">
        <x:v>48</x:v>
      </x:c>
      <x:c r="I78" t="s">
        <x:v>283</x:v>
      </x:c>
      <x:c r="J78" t="s">
        <x:v>284</x:v>
      </x:c>
      <x:c r="K78" s="18" t="s">
        <x:v>78</x:v>
      </x:c>
      <x:c r="L78" s="15"/>
    </x:row>
    <x:row r="79" ht="13.5" customHeight="1">
      <x:c r="A79" s="18">
        <x:v>76</x:v>
      </x:c>
      <x:c r="B79" s="19">
        <x:v>46290</x:v>
      </x:c>
      <x:c r="C79" s="18" t="str">
        <x:f t="shared" si="2"/>
        <x:v>Fri</x:v>
      </x:c>
      <x:c r="D79" s="18" t="s">
        <x:v>269</x:v>
      </x:c>
      <x:c r="E79" s="18" t="s">
        <x:v>25</x:v>
      </x:c>
      <x:c r="F79" t="s">
        <x:v>19</x:v>
      </x:c>
      <x:c r="G79" t="s">
        <x:v>285</x:v>
      </x:c>
      <x:c r="H79" t="s">
        <x:v>48</x:v>
      </x:c>
      <x:c r="I79" t="s">
        <x:v>286</x:v>
      </x:c>
      <x:c r="J79" t="s">
        <x:v>287</x:v>
      </x:c>
      <x:c r="K79" s="18" t="s">
        <x:v>78</x:v>
      </x:c>
      <x:c r="L79" s="15"/>
    </x:row>
    <x:row r="80" ht="13.5" customHeight="1">
      <x:c r="A80" s="18">
        <x:v>77</x:v>
      </x:c>
      <x:c r="B80" s="19">
        <x:v>46291</x:v>
      </x:c>
      <x:c r="C80" s="18" t="str">
        <x:f t="shared" si="2"/>
        <x:v>Sat</x:v>
      </x:c>
      <x:c r="D80" s="18" t="s">
        <x:v>269</x:v>
      </x:c>
      <x:c r="E80" s="18" t="s">
        <x:v>25</x:v>
      </x:c>
      <x:c r="F80" t="s">
        <x:v>11</x:v>
      </x:c>
      <x:c r="G80" t="s">
        <x:v>288</x:v>
      </x:c>
      <x:c r="H80" t="s">
        <x:v>48</x:v>
      </x:c>
      <x:c r="I80" t="s">
        <x:v>289</x:v>
      </x:c>
      <x:c r="J80" t="s">
        <x:v>290</x:v>
      </x:c>
      <x:c r="K80" s="18" t="s">
        <x:v>78</x:v>
      </x:c>
      <x:c r="L80" s="15"/>
    </x:row>
    <x:row r="81" ht="13.5" customHeight="1">
      <x:c r="A81" s="18">
        <x:v>78</x:v>
      </x:c>
      <x:c r="B81" s="19">
        <x:v>46292</x:v>
      </x:c>
      <x:c r="C81" s="18" t="str">
        <x:f t="shared" si="2"/>
        <x:v>Sun</x:v>
      </x:c>
      <x:c r="D81" s="18" t="s">
        <x:v>291</x:v>
      </x:c>
      <x:c r="E81" s="18" t="s">
        <x:v>25</x:v>
      </x:c>
      <x:c r="F81" t="s">
        <x:v>9</x:v>
      </x:c>
      <x:c r="G81" t="s">
        <x:v>292</x:v>
      </x:c>
      <x:c r="H81" t="s">
        <x:v>48</x:v>
      </x:c>
      <x:c r="I81" t="s">
        <x:v>293</x:v>
      </x:c>
      <x:c r="J81" t="s">
        <x:v>294</x:v>
      </x:c>
      <x:c r="K81" s="18" t="s">
        <x:v>78</x:v>
      </x:c>
      <x:c r="L81" s="15"/>
    </x:row>
    <x:row r="82" ht="13.5" customHeight="1">
      <x:c r="A82" s="18">
        <x:v>79</x:v>
      </x:c>
      <x:c r="B82" s="19">
        <x:v>46293</x:v>
      </x:c>
      <x:c r="C82" s="18" t="str">
        <x:f t="shared" si="2"/>
        <x:v>Mon</x:v>
      </x:c>
      <x:c r="D82" s="18" t="s">
        <x:v>291</x:v>
      </x:c>
      <x:c r="E82" s="18" t="s">
        <x:v>25</x:v>
      </x:c>
      <x:c r="F82" t="s">
        <x:v>9</x:v>
      </x:c>
      <x:c r="G82" t="s">
        <x:v>295</x:v>
      </x:c>
      <x:c r="H82" t="s">
        <x:v>48</x:v>
      </x:c>
      <x:c r="I82" t="s">
        <x:v>296</x:v>
      </x:c>
      <x:c r="J82" t="s">
        <x:v>297</x:v>
      </x:c>
      <x:c r="K82" s="18" t="s">
        <x:v>78</x:v>
      </x:c>
      <x:c r="L82" s="15"/>
    </x:row>
  </x:sheetData>
  <x:mergeCells>
    <x:mergeCell ref="A1:L1"/>
  </x:mergeCells>
  <x:conditionalFormatting sqref="A4:L38">
    <x:cfRule type="expression" dxfId="6" priority="7">
      <x:formula>AND($E4="P1",$K4&lt;&gt;"Published")</x:formula>
    </x:cfRule>
  </x:conditionalFormatting>
  <x:conditionalFormatting sqref="E4:E87">
    <x:cfRule type="expression" dxfId="5" priority="1">
      <x:formula>E4="P1"</x:formula>
    </x:cfRule>
    <x:cfRule type="expression" dxfId="4" priority="2">
      <x:formula>E4="P2"</x:formula>
    </x:cfRule>
    <x:cfRule type="expression" dxfId="3" priority="3">
      <x:formula>E4="P3"</x:formula>
    </x:cfRule>
  </x:conditionalFormatting>
  <x:conditionalFormatting sqref="K4:K87">
    <x:cfRule type="expression" dxfId="2" priority="4">
      <x:formula>K4="Published"</x:formula>
    </x:cfRule>
    <x:cfRule type="expression" dxfId="1" priority="5">
      <x:formula>K4="Drafting"</x:formula>
    </x:cfRule>
    <x:cfRule type="expression" dxfId="0" priority="6">
      <x:formula>K4="Review"</x:formula>
    </x:cfRule>
  </x:conditionalFormatting>
  <x:dataValidations count="1">
    <x:dataValidation type="list" sqref="K4:K82">
      <x:formula1>"Not Started,In Progress,Draft Complete,Published"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1f19c6a7344455"/>
  </x:tableParts>
</x:worksheet>
</file>